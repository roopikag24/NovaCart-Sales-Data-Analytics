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oopi\OneDrive\Documents\ENTRI - DATA ANALYTICS\Power BI\Week 5\Mini Project info\"/>
    </mc:Choice>
  </mc:AlternateContent>
  <xr:revisionPtr revIDLastSave="0" documentId="13_ncr:1_{EA00A15D-3A15-486B-9241-25CB700B0D97}" xr6:coauthVersionLast="47" xr6:coauthVersionMax="47" xr10:uidLastSave="{00000000-0000-0000-0000-000000000000}"/>
  <bookViews>
    <workbookView xWindow="-108" yWindow="-108" windowWidth="23256" windowHeight="13896" xr2:uid="{8F06C432-B5F1-41EE-865D-081E2EFB4CA8}"/>
  </bookViews>
  <sheets>
    <sheet name="NOVACART DATA" sheetId="2" r:id="rId1"/>
    <sheet name="Customer Data" sheetId="3" r:id="rId2"/>
    <sheet name="Order Data" sheetId="4" r:id="rId3"/>
    <sheet name="Product Data" sheetId="5" r:id="rId4"/>
    <sheet name="CALC" sheetId="7" r:id="rId5"/>
  </sheets>
  <externalReferences>
    <externalReference r:id="rId6"/>
  </externalReferences>
  <definedNames>
    <definedName name="_xlnm._FilterDatabase" localSheetId="0" hidden="1">'NOVACART DATA'!$A$1:$N$1000</definedName>
    <definedName name="_xlnm._FilterDatabase" localSheetId="2" hidden="1">'Order Data'!$A$1:$J$1000</definedName>
    <definedName name="_xlcn.WorksheetConnection_Novacart.xlsxTable1" hidden="1">[1]Cleaned!$A$1:$N$1001</definedName>
  </definedNames>
  <calcPr calcId="191029"/>
  <pivotCaches>
    <pivotCache cacheId="0" r:id="rId7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Novacar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2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2" i="4"/>
  <c r="C2" i="4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2" i="2"/>
  <c r="I30" i="4"/>
  <c r="E25" i="4"/>
  <c r="E26" i="4"/>
  <c r="E27" i="4"/>
  <c r="E28" i="4"/>
  <c r="E29" i="4"/>
  <c r="E30" i="4"/>
  <c r="E31" i="4"/>
  <c r="E32" i="4"/>
  <c r="E33" i="4"/>
  <c r="E34" i="4"/>
  <c r="E35" i="4"/>
  <c r="E36" i="4"/>
  <c r="P2" i="7"/>
  <c r="K3" i="7" a="1"/>
  <c r="K3" i="7" s="1"/>
  <c r="L3" i="7" s="1"/>
  <c r="H996" i="2"/>
  <c r="H874" i="2"/>
  <c r="H816" i="2"/>
  <c r="H620" i="2"/>
  <c r="H611" i="2"/>
  <c r="H605" i="2"/>
  <c r="H576" i="2"/>
  <c r="H529" i="2"/>
  <c r="H527" i="2"/>
  <c r="H505" i="2"/>
  <c r="H412" i="2"/>
  <c r="H370" i="2"/>
  <c r="H295" i="2"/>
  <c r="H277" i="2"/>
  <c r="H270" i="2"/>
  <c r="H264" i="2"/>
  <c r="H250" i="2"/>
  <c r="H237" i="2"/>
  <c r="H216" i="2"/>
  <c r="H142" i="2"/>
  <c r="H136" i="2"/>
  <c r="H98" i="2"/>
  <c r="H85" i="2"/>
  <c r="H39" i="2"/>
  <c r="B4" i="7"/>
  <c r="B3" i="7"/>
  <c r="B2" i="7"/>
  <c r="B1" i="7"/>
  <c r="C25" i="4"/>
  <c r="C26" i="4"/>
  <c r="C27" i="4"/>
  <c r="C28" i="4"/>
  <c r="C29" i="4"/>
  <c r="C30" i="4"/>
  <c r="C31" i="4"/>
  <c r="C32" i="4"/>
  <c r="C33" i="4"/>
  <c r="C34" i="4"/>
  <c r="C35" i="4"/>
  <c r="C36" i="4"/>
  <c r="B2" i="3" a="1"/>
  <c r="D45" i="3" s="1"/>
  <c r="I983" i="4" l="1"/>
  <c r="I767" i="4"/>
  <c r="I494" i="4"/>
  <c r="I310" i="4"/>
  <c r="I237" i="4"/>
  <c r="I220" i="4"/>
  <c r="I671" i="4"/>
  <c r="E15" i="4"/>
  <c r="I726" i="4"/>
  <c r="I710" i="4"/>
  <c r="I685" i="4"/>
  <c r="I191" i="4"/>
  <c r="I146" i="4"/>
  <c r="I122" i="4"/>
  <c r="I201" i="4"/>
  <c r="I824" i="4"/>
  <c r="I606" i="4"/>
  <c r="I474" i="4"/>
  <c r="I355" i="4"/>
  <c r="I232" i="4"/>
  <c r="I869" i="4"/>
  <c r="I844" i="4"/>
  <c r="I323" i="4"/>
  <c r="I746" i="4"/>
  <c r="I682" i="4"/>
  <c r="I441" i="4"/>
  <c r="I401" i="4"/>
  <c r="I321" i="4"/>
  <c r="I102" i="4"/>
  <c r="I62" i="4"/>
  <c r="I891" i="4"/>
  <c r="I696" i="4"/>
  <c r="I215" i="4"/>
  <c r="I221" i="4"/>
  <c r="I196" i="4"/>
  <c r="I921" i="4"/>
  <c r="I706" i="4"/>
  <c r="I625" i="4"/>
  <c r="I440" i="4"/>
  <c r="I432" i="4"/>
  <c r="I810" i="4"/>
  <c r="I865" i="4"/>
  <c r="I279" i="4"/>
  <c r="I203" i="4"/>
  <c r="I158" i="4"/>
  <c r="I31" i="4"/>
  <c r="I88" i="4"/>
  <c r="I29" i="4"/>
  <c r="I828" i="4"/>
  <c r="I36" i="4"/>
  <c r="I28" i="4"/>
  <c r="I27" i="4"/>
  <c r="I35" i="4"/>
  <c r="I33" i="4"/>
  <c r="I26" i="4"/>
  <c r="I25" i="4"/>
  <c r="I32" i="4"/>
  <c r="I34" i="4"/>
  <c r="C53" i="4"/>
  <c r="E53" i="4"/>
  <c r="C39" i="4"/>
  <c r="E39" i="4"/>
  <c r="C506" i="4"/>
  <c r="E506" i="4"/>
  <c r="I995" i="4"/>
  <c r="E995" i="4"/>
  <c r="E987" i="4"/>
  <c r="C980" i="4"/>
  <c r="I980" i="4"/>
  <c r="E980" i="4"/>
  <c r="C971" i="4"/>
  <c r="E971" i="4"/>
  <c r="E963" i="4"/>
  <c r="I963" i="4"/>
  <c r="I955" i="4"/>
  <c r="E955" i="4"/>
  <c r="E947" i="4"/>
  <c r="I939" i="4"/>
  <c r="E939" i="4"/>
  <c r="E931" i="4"/>
  <c r="E923" i="4"/>
  <c r="I917" i="4"/>
  <c r="E917" i="4"/>
  <c r="E907" i="4"/>
  <c r="C899" i="4"/>
  <c r="E899" i="4"/>
  <c r="E895" i="4"/>
  <c r="E886" i="4"/>
  <c r="I877" i="4"/>
  <c r="E877" i="4"/>
  <c r="C867" i="4"/>
  <c r="E867" i="4"/>
  <c r="E859" i="4"/>
  <c r="E851" i="4"/>
  <c r="C843" i="4"/>
  <c r="E843" i="4"/>
  <c r="C835" i="4"/>
  <c r="E835" i="4"/>
  <c r="C829" i="4"/>
  <c r="I829" i="4"/>
  <c r="E829" i="4"/>
  <c r="C821" i="4"/>
  <c r="E821" i="4"/>
  <c r="E812" i="4"/>
  <c r="I803" i="4"/>
  <c r="E803" i="4"/>
  <c r="E795" i="4"/>
  <c r="C787" i="4"/>
  <c r="E787" i="4"/>
  <c r="C777" i="4"/>
  <c r="I777" i="4"/>
  <c r="E777" i="4"/>
  <c r="I771" i="4"/>
  <c r="E771" i="4"/>
  <c r="I763" i="4"/>
  <c r="E763" i="4"/>
  <c r="C756" i="4"/>
  <c r="I756" i="4"/>
  <c r="E756" i="4"/>
  <c r="E747" i="4"/>
  <c r="E739" i="4"/>
  <c r="C732" i="4"/>
  <c r="I732" i="4"/>
  <c r="E732" i="4"/>
  <c r="E724" i="4"/>
  <c r="C716" i="4"/>
  <c r="E716" i="4"/>
  <c r="I708" i="4"/>
  <c r="E708" i="4"/>
  <c r="E699" i="4"/>
  <c r="E691" i="4"/>
  <c r="E683" i="4"/>
  <c r="E675" i="4"/>
  <c r="C667" i="4"/>
  <c r="I667" i="4"/>
  <c r="E667" i="4"/>
  <c r="E659" i="4"/>
  <c r="E651" i="4"/>
  <c r="E643" i="4"/>
  <c r="E635" i="4"/>
  <c r="E627" i="4"/>
  <c r="E619" i="4"/>
  <c r="I613" i="4"/>
  <c r="E613" i="4"/>
  <c r="C606" i="4"/>
  <c r="E606" i="4"/>
  <c r="I596" i="4"/>
  <c r="E596" i="4"/>
  <c r="E588" i="4"/>
  <c r="E580" i="4"/>
  <c r="C573" i="4"/>
  <c r="I573" i="4"/>
  <c r="E573" i="4"/>
  <c r="I564" i="4"/>
  <c r="E564" i="4"/>
  <c r="E556" i="4"/>
  <c r="C549" i="4"/>
  <c r="I549" i="4"/>
  <c r="E549" i="4"/>
  <c r="E539" i="4"/>
  <c r="C531" i="4"/>
  <c r="E531" i="4"/>
  <c r="E523" i="4"/>
  <c r="C515" i="4"/>
  <c r="I515" i="4"/>
  <c r="E515" i="4"/>
  <c r="C507" i="4"/>
  <c r="E507" i="4"/>
  <c r="C498" i="4"/>
  <c r="E498" i="4"/>
  <c r="I490" i="4"/>
  <c r="E490" i="4"/>
  <c r="C482" i="4"/>
  <c r="E482" i="4"/>
  <c r="C474" i="4"/>
  <c r="E474" i="4"/>
  <c r="C466" i="4"/>
  <c r="I466" i="4"/>
  <c r="E466" i="4"/>
  <c r="C458" i="4"/>
  <c r="E458" i="4"/>
  <c r="E450" i="4"/>
  <c r="C442" i="4"/>
  <c r="I442" i="4"/>
  <c r="E442" i="4"/>
  <c r="C434" i="4"/>
  <c r="E434" i="4"/>
  <c r="I426" i="4"/>
  <c r="E426" i="4"/>
  <c r="I418" i="4"/>
  <c r="E418" i="4"/>
  <c r="E410" i="4"/>
  <c r="I402" i="4"/>
  <c r="E402" i="4"/>
  <c r="E394" i="4"/>
  <c r="E386" i="4"/>
  <c r="I379" i="4"/>
  <c r="E379" i="4"/>
  <c r="E371" i="4"/>
  <c r="E363" i="4"/>
  <c r="E355" i="4"/>
  <c r="E347" i="4"/>
  <c r="E338" i="4"/>
  <c r="C330" i="4"/>
  <c r="I330" i="4"/>
  <c r="E330" i="4"/>
  <c r="I322" i="4"/>
  <c r="E322" i="4"/>
  <c r="I314" i="4"/>
  <c r="E314" i="4"/>
  <c r="I306" i="4"/>
  <c r="E306" i="4"/>
  <c r="E298" i="4"/>
  <c r="E290" i="4"/>
  <c r="I281" i="4"/>
  <c r="E281" i="4"/>
  <c r="C273" i="4"/>
  <c r="E273" i="4"/>
  <c r="E264" i="4"/>
  <c r="I256" i="4"/>
  <c r="E256" i="4"/>
  <c r="I248" i="4"/>
  <c r="E248" i="4"/>
  <c r="C240" i="4"/>
  <c r="E240" i="4"/>
  <c r="C232" i="4"/>
  <c r="E232" i="4"/>
  <c r="I224" i="4"/>
  <c r="E224" i="4"/>
  <c r="E214" i="4"/>
  <c r="C200" i="4"/>
  <c r="E200" i="4"/>
  <c r="E196" i="4"/>
  <c r="I188" i="4"/>
  <c r="E188" i="4"/>
  <c r="E180" i="4"/>
  <c r="I169" i="4"/>
  <c r="E169" i="4"/>
  <c r="E161" i="4"/>
  <c r="C152" i="4"/>
  <c r="E152" i="4"/>
  <c r="C144" i="4"/>
  <c r="E144" i="4"/>
  <c r="E136" i="4"/>
  <c r="E127" i="4"/>
  <c r="E119" i="4"/>
  <c r="E112" i="4"/>
  <c r="I103" i="4"/>
  <c r="E103" i="4"/>
  <c r="I94" i="4"/>
  <c r="E94" i="4"/>
  <c r="I90" i="4"/>
  <c r="E90" i="4"/>
  <c r="C81" i="4"/>
  <c r="E81" i="4"/>
  <c r="C71" i="4"/>
  <c r="I71" i="4"/>
  <c r="E71" i="4"/>
  <c r="I63" i="4"/>
  <c r="E63" i="4"/>
  <c r="E55" i="4"/>
  <c r="I46" i="4"/>
  <c r="E46" i="4"/>
  <c r="E20" i="4"/>
  <c r="E12" i="4"/>
  <c r="C43" i="4"/>
  <c r="I43" i="4"/>
  <c r="E43" i="4"/>
  <c r="E999" i="4"/>
  <c r="I991" i="4"/>
  <c r="E991" i="4"/>
  <c r="E983" i="4"/>
  <c r="E975" i="4"/>
  <c r="C967" i="4"/>
  <c r="I967" i="4"/>
  <c r="E967" i="4"/>
  <c r="E959" i="4"/>
  <c r="E951" i="4"/>
  <c r="I943" i="4"/>
  <c r="E943" i="4"/>
  <c r="E935" i="4"/>
  <c r="E927" i="4"/>
  <c r="E916" i="4"/>
  <c r="C911" i="4"/>
  <c r="E911" i="4"/>
  <c r="I903" i="4"/>
  <c r="E903" i="4"/>
  <c r="E888" i="4"/>
  <c r="C891" i="4"/>
  <c r="E891" i="4"/>
  <c r="C882" i="4"/>
  <c r="E882" i="4"/>
  <c r="I873" i="4"/>
  <c r="E873" i="4"/>
  <c r="E863" i="4"/>
  <c r="E855" i="4"/>
  <c r="C847" i="4"/>
  <c r="I847" i="4"/>
  <c r="E847" i="4"/>
  <c r="E839" i="4"/>
  <c r="C833" i="4"/>
  <c r="E833" i="4"/>
  <c r="C825" i="4"/>
  <c r="I825" i="4"/>
  <c r="E825" i="4"/>
  <c r="E817" i="4"/>
  <c r="E808" i="4"/>
  <c r="I799" i="4"/>
  <c r="E799" i="4"/>
  <c r="E791" i="4"/>
  <c r="E783" i="4"/>
  <c r="I775" i="4"/>
  <c r="E775" i="4"/>
  <c r="E767" i="4"/>
  <c r="E753" i="4"/>
  <c r="C751" i="4"/>
  <c r="I751" i="4"/>
  <c r="E751" i="4"/>
  <c r="E743" i="4"/>
  <c r="C736" i="4"/>
  <c r="E736" i="4"/>
  <c r="E705" i="4"/>
  <c r="E720" i="4"/>
  <c r="I712" i="4"/>
  <c r="E712" i="4"/>
  <c r="E703" i="4"/>
  <c r="C695" i="4"/>
  <c r="E695" i="4"/>
  <c r="I687" i="4"/>
  <c r="E687" i="4"/>
  <c r="E679" i="4"/>
  <c r="E671" i="4"/>
  <c r="E663" i="4"/>
  <c r="C655" i="4"/>
  <c r="I655" i="4"/>
  <c r="E655" i="4"/>
  <c r="E647" i="4"/>
  <c r="C639" i="4"/>
  <c r="I639" i="4"/>
  <c r="E639" i="4"/>
  <c r="C631" i="4"/>
  <c r="E631" i="4"/>
  <c r="E623" i="4"/>
  <c r="I617" i="4"/>
  <c r="E617" i="4"/>
  <c r="E609" i="4"/>
  <c r="E601" i="4"/>
  <c r="I592" i="4"/>
  <c r="E592" i="4"/>
  <c r="E584" i="4"/>
  <c r="C576" i="4"/>
  <c r="I576" i="4"/>
  <c r="E576" i="4"/>
  <c r="E568" i="4"/>
  <c r="E560" i="4"/>
  <c r="I547" i="4"/>
  <c r="E547" i="4"/>
  <c r="E544" i="4"/>
  <c r="E535" i="4"/>
  <c r="I527" i="4"/>
  <c r="E527" i="4"/>
  <c r="C519" i="4"/>
  <c r="E519" i="4"/>
  <c r="I511" i="4"/>
  <c r="E511" i="4"/>
  <c r="E502" i="4"/>
  <c r="C494" i="4"/>
  <c r="E494" i="4"/>
  <c r="C486" i="4"/>
  <c r="I486" i="4"/>
  <c r="E486" i="4"/>
  <c r="I478" i="4"/>
  <c r="E478" i="4"/>
  <c r="E471" i="4"/>
  <c r="C462" i="4"/>
  <c r="I462" i="4"/>
  <c r="E462" i="4"/>
  <c r="I454" i="4"/>
  <c r="E454" i="4"/>
  <c r="E446" i="4"/>
  <c r="I438" i="4"/>
  <c r="E438" i="4"/>
  <c r="E430" i="4"/>
  <c r="E422" i="4"/>
  <c r="I414" i="4"/>
  <c r="E414" i="4"/>
  <c r="C406" i="4"/>
  <c r="E406" i="4"/>
  <c r="E398" i="4"/>
  <c r="I390" i="4"/>
  <c r="E390" i="4"/>
  <c r="E382" i="4"/>
  <c r="C375" i="4"/>
  <c r="I375" i="4"/>
  <c r="E375" i="4"/>
  <c r="E367" i="4"/>
  <c r="E359" i="4"/>
  <c r="I351" i="4"/>
  <c r="E351" i="4"/>
  <c r="E342" i="4"/>
  <c r="E334" i="4"/>
  <c r="D334" i="4" s="1"/>
  <c r="I326" i="4"/>
  <c r="E326" i="4"/>
  <c r="I318" i="4"/>
  <c r="E318" i="4"/>
  <c r="C310" i="4"/>
  <c r="E310" i="4"/>
  <c r="C302" i="4"/>
  <c r="E302" i="4"/>
  <c r="I294" i="4"/>
  <c r="E294" i="4"/>
  <c r="C286" i="4"/>
  <c r="E286" i="4"/>
  <c r="I277" i="4"/>
  <c r="E277" i="4"/>
  <c r="E268" i="4"/>
  <c r="E260" i="4"/>
  <c r="C252" i="4"/>
  <c r="I252" i="4"/>
  <c r="E252" i="4"/>
  <c r="C244" i="4"/>
  <c r="E244" i="4"/>
  <c r="C237" i="4"/>
  <c r="E237" i="4"/>
  <c r="C228" i="4"/>
  <c r="I228" i="4"/>
  <c r="E228" i="4"/>
  <c r="C220" i="4"/>
  <c r="E220" i="4"/>
  <c r="C208" i="4"/>
  <c r="E208" i="4"/>
  <c r="E201" i="4"/>
  <c r="E190" i="4"/>
  <c r="E184" i="4"/>
  <c r="I174" i="4"/>
  <c r="E174" i="4"/>
  <c r="E165" i="4"/>
  <c r="E156" i="4"/>
  <c r="C148" i="4"/>
  <c r="E148" i="4"/>
  <c r="E140" i="4"/>
  <c r="I132" i="4"/>
  <c r="E132" i="4"/>
  <c r="C123" i="4"/>
  <c r="I123" i="4"/>
  <c r="E123" i="4"/>
  <c r="C116" i="4"/>
  <c r="I116" i="4"/>
  <c r="E116" i="4"/>
  <c r="E108" i="4"/>
  <c r="C99" i="4"/>
  <c r="I99" i="4"/>
  <c r="E99" i="4"/>
  <c r="E24" i="4"/>
  <c r="E85" i="4"/>
  <c r="I77" i="4"/>
  <c r="E77" i="4"/>
  <c r="E67" i="4"/>
  <c r="I59" i="4"/>
  <c r="E59" i="4"/>
  <c r="I50" i="4"/>
  <c r="E50" i="4"/>
  <c r="E38" i="4"/>
  <c r="I16" i="4"/>
  <c r="E16" i="4"/>
  <c r="E5" i="4"/>
  <c r="C177" i="4"/>
  <c r="E177" i="4"/>
  <c r="C540" i="4"/>
  <c r="E540" i="4"/>
  <c r="C602" i="4"/>
  <c r="I602" i="4"/>
  <c r="E602" i="4"/>
  <c r="C272" i="4"/>
  <c r="I272" i="4"/>
  <c r="E272" i="4"/>
  <c r="C998" i="4"/>
  <c r="I998" i="4"/>
  <c r="E998" i="4"/>
  <c r="I990" i="4"/>
  <c r="E990" i="4"/>
  <c r="I982" i="4"/>
  <c r="E982" i="4"/>
  <c r="E974" i="4"/>
  <c r="E966" i="4"/>
  <c r="I958" i="4"/>
  <c r="E958" i="4"/>
  <c r="E950" i="4"/>
  <c r="E942" i="4"/>
  <c r="C212" i="4"/>
  <c r="E212" i="4"/>
  <c r="I997" i="4"/>
  <c r="E997" i="4"/>
  <c r="E989" i="4"/>
  <c r="E981" i="4"/>
  <c r="I973" i="4"/>
  <c r="E973" i="4"/>
  <c r="E965" i="4"/>
  <c r="E957" i="4"/>
  <c r="E949" i="4"/>
  <c r="E941" i="4"/>
  <c r="I933" i="4"/>
  <c r="E933" i="4"/>
  <c r="E925" i="4"/>
  <c r="C919" i="4"/>
  <c r="E919" i="4"/>
  <c r="C909" i="4"/>
  <c r="I909" i="4"/>
  <c r="E909" i="4"/>
  <c r="C901" i="4"/>
  <c r="E901" i="4"/>
  <c r="E870" i="4"/>
  <c r="C889" i="4"/>
  <c r="I889" i="4"/>
  <c r="E889" i="4"/>
  <c r="E879" i="4"/>
  <c r="E871" i="4"/>
  <c r="C861" i="4"/>
  <c r="I861" i="4"/>
  <c r="E861" i="4"/>
  <c r="E853" i="4"/>
  <c r="E845" i="4"/>
  <c r="C837" i="4"/>
  <c r="I837" i="4"/>
  <c r="E837" i="4"/>
  <c r="E831" i="4"/>
  <c r="C823" i="4"/>
  <c r="E823" i="4"/>
  <c r="I814" i="4"/>
  <c r="E814" i="4"/>
  <c r="E806" i="4"/>
  <c r="E797" i="4"/>
  <c r="C789" i="4"/>
  <c r="E789" i="4"/>
  <c r="I781" i="4"/>
  <c r="E781" i="4"/>
  <c r="E773" i="4"/>
  <c r="C765" i="4"/>
  <c r="I765" i="4"/>
  <c r="E765" i="4"/>
  <c r="E758" i="4"/>
  <c r="E749" i="4"/>
  <c r="I741" i="4"/>
  <c r="E741" i="4"/>
  <c r="C734" i="4"/>
  <c r="E734" i="4"/>
  <c r="C726" i="4"/>
  <c r="E726" i="4"/>
  <c r="C718" i="4"/>
  <c r="I718" i="4"/>
  <c r="E718" i="4"/>
  <c r="E710" i="4"/>
  <c r="I701" i="4"/>
  <c r="E701" i="4"/>
  <c r="I693" i="4"/>
  <c r="E693" i="4"/>
  <c r="E685" i="4"/>
  <c r="C677" i="4"/>
  <c r="I677" i="4"/>
  <c r="E677" i="4"/>
  <c r="I669" i="4"/>
  <c r="E669" i="4"/>
  <c r="E661" i="4"/>
  <c r="C653" i="4"/>
  <c r="I653" i="4"/>
  <c r="E653" i="4"/>
  <c r="I645" i="4"/>
  <c r="E645" i="4"/>
  <c r="E637" i="4"/>
  <c r="I629" i="4"/>
  <c r="E629" i="4"/>
  <c r="E621" i="4"/>
  <c r="E615" i="4"/>
  <c r="I597" i="4"/>
  <c r="E597" i="4"/>
  <c r="E599" i="4"/>
  <c r="E590" i="4"/>
  <c r="I582" i="4"/>
  <c r="E582" i="4"/>
  <c r="E574" i="4"/>
  <c r="E566" i="4"/>
  <c r="E558" i="4"/>
  <c r="E551" i="4"/>
  <c r="E542" i="4"/>
  <c r="E533" i="4"/>
  <c r="E525" i="4"/>
  <c r="I517" i="4"/>
  <c r="E517" i="4"/>
  <c r="E509" i="4"/>
  <c r="E500" i="4"/>
  <c r="I492" i="4"/>
  <c r="E492" i="4"/>
  <c r="E484" i="4"/>
  <c r="E476" i="4"/>
  <c r="D476" i="4" s="1"/>
  <c r="E468" i="4"/>
  <c r="C460" i="4"/>
  <c r="I460" i="4"/>
  <c r="E460" i="4"/>
  <c r="C452" i="4"/>
  <c r="E452" i="4"/>
  <c r="I444" i="4"/>
  <c r="E444" i="4"/>
  <c r="I436" i="4"/>
  <c r="E436" i="4"/>
  <c r="E428" i="4"/>
  <c r="C420" i="4"/>
  <c r="I420" i="4"/>
  <c r="E420" i="4"/>
  <c r="E412" i="4"/>
  <c r="E404" i="4"/>
  <c r="I396" i="4"/>
  <c r="E396" i="4"/>
  <c r="E388" i="4"/>
  <c r="E381" i="4"/>
  <c r="C373" i="4"/>
  <c r="E373" i="4"/>
  <c r="E365" i="4"/>
  <c r="I357" i="4"/>
  <c r="E357" i="4"/>
  <c r="E349" i="4"/>
  <c r="E340" i="4"/>
  <c r="C332" i="4"/>
  <c r="I332" i="4"/>
  <c r="E332" i="4"/>
  <c r="I324" i="4"/>
  <c r="E324" i="4"/>
  <c r="I316" i="4"/>
  <c r="E316" i="4"/>
  <c r="I308" i="4"/>
  <c r="E308" i="4"/>
  <c r="C300" i="4"/>
  <c r="E300" i="4"/>
  <c r="E292" i="4"/>
  <c r="I284" i="4"/>
  <c r="E284" i="4"/>
  <c r="I275" i="4"/>
  <c r="E275" i="4"/>
  <c r="E266" i="4"/>
  <c r="C258" i="4"/>
  <c r="I258" i="4"/>
  <c r="E258" i="4"/>
  <c r="E250" i="4"/>
  <c r="E242" i="4"/>
  <c r="C235" i="4"/>
  <c r="E235" i="4"/>
  <c r="E226" i="4"/>
  <c r="E217" i="4"/>
  <c r="I206" i="4"/>
  <c r="E206" i="4"/>
  <c r="E198" i="4"/>
  <c r="E191" i="4"/>
  <c r="E182" i="4"/>
  <c r="E172" i="4"/>
  <c r="E163" i="4"/>
  <c r="I154" i="4"/>
  <c r="E154" i="4"/>
  <c r="E146" i="4"/>
  <c r="I138" i="4"/>
  <c r="E138" i="4"/>
  <c r="I129" i="4"/>
  <c r="E129" i="4"/>
  <c r="E122" i="4"/>
  <c r="E114" i="4"/>
  <c r="I105" i="4"/>
  <c r="E105" i="4"/>
  <c r="E96" i="4"/>
  <c r="E22" i="4"/>
  <c r="C83" i="4"/>
  <c r="I83" i="4"/>
  <c r="E83" i="4"/>
  <c r="E75" i="4"/>
  <c r="E65" i="4"/>
  <c r="E57" i="4"/>
  <c r="E48" i="4"/>
  <c r="I40" i="4"/>
  <c r="E40" i="4"/>
  <c r="C14" i="4"/>
  <c r="E14" i="4"/>
  <c r="C4" i="4"/>
  <c r="E4" i="4"/>
  <c r="C179" i="4"/>
  <c r="E179" i="4"/>
  <c r="C73" i="4"/>
  <c r="E73" i="4"/>
  <c r="C996" i="4"/>
  <c r="E996" i="4"/>
  <c r="E988" i="4"/>
  <c r="I978" i="4"/>
  <c r="E978" i="4"/>
  <c r="C972" i="4"/>
  <c r="E972" i="4"/>
  <c r="E964" i="4"/>
  <c r="E956" i="4"/>
  <c r="I948" i="4"/>
  <c r="E948" i="4"/>
  <c r="C940" i="4"/>
  <c r="E940" i="4"/>
  <c r="E932" i="4"/>
  <c r="C924" i="4"/>
  <c r="E924" i="4"/>
  <c r="I918" i="4"/>
  <c r="E918" i="4"/>
  <c r="E908" i="4"/>
  <c r="E900" i="4"/>
  <c r="I868" i="4"/>
  <c r="E868" i="4"/>
  <c r="C887" i="4"/>
  <c r="I887" i="4"/>
  <c r="E887" i="4"/>
  <c r="E878" i="4"/>
  <c r="C869" i="4"/>
  <c r="E869" i="4"/>
  <c r="E860" i="4"/>
  <c r="I852" i="4"/>
  <c r="E852" i="4"/>
  <c r="E844" i="4"/>
  <c r="E836" i="4"/>
  <c r="C830" i="4"/>
  <c r="I830" i="4"/>
  <c r="E830" i="4"/>
  <c r="E822" i="4"/>
  <c r="E813" i="4"/>
  <c r="I804" i="4"/>
  <c r="E804" i="4"/>
  <c r="C796" i="4"/>
  <c r="E796" i="4"/>
  <c r="I788" i="4"/>
  <c r="E788" i="4"/>
  <c r="E780" i="4"/>
  <c r="E772" i="4"/>
  <c r="I764" i="4"/>
  <c r="E764" i="4"/>
  <c r="E757" i="4"/>
  <c r="E748" i="4"/>
  <c r="I740" i="4"/>
  <c r="E740" i="4"/>
  <c r="E733" i="4"/>
  <c r="C725" i="4"/>
  <c r="E725" i="4"/>
  <c r="C717" i="4"/>
  <c r="I717" i="4"/>
  <c r="E717" i="4"/>
  <c r="I709" i="4"/>
  <c r="E709" i="4"/>
  <c r="E700" i="4"/>
  <c r="I692" i="4"/>
  <c r="E692" i="4"/>
  <c r="I684" i="4"/>
  <c r="E684" i="4"/>
  <c r="E676" i="4"/>
  <c r="I668" i="4"/>
  <c r="E668" i="4"/>
  <c r="E660" i="4"/>
  <c r="E652" i="4"/>
  <c r="I644" i="4"/>
  <c r="E644" i="4"/>
  <c r="E636" i="4"/>
  <c r="C628" i="4"/>
  <c r="E628" i="4"/>
  <c r="I620" i="4"/>
  <c r="E620" i="4"/>
  <c r="E614" i="4"/>
  <c r="C607" i="4"/>
  <c r="E607" i="4"/>
  <c r="E598" i="4"/>
  <c r="E589" i="4"/>
  <c r="C581" i="4"/>
  <c r="I581" i="4"/>
  <c r="E581" i="4"/>
  <c r="E569" i="4"/>
  <c r="E565" i="4"/>
  <c r="I557" i="4"/>
  <c r="E557" i="4"/>
  <c r="E550" i="4"/>
  <c r="E541" i="4"/>
  <c r="I532" i="4"/>
  <c r="E532" i="4"/>
  <c r="E524" i="4"/>
  <c r="E516" i="4"/>
  <c r="E508" i="4"/>
  <c r="I508" i="4"/>
  <c r="I499" i="4"/>
  <c r="E499" i="4"/>
  <c r="E491" i="4"/>
  <c r="E483" i="4"/>
  <c r="I475" i="4"/>
  <c r="E475" i="4"/>
  <c r="C467" i="4"/>
  <c r="E467" i="4"/>
  <c r="I459" i="4"/>
  <c r="E459" i="4"/>
  <c r="E451" i="4"/>
  <c r="E443" i="4"/>
  <c r="C435" i="4"/>
  <c r="E435" i="4"/>
  <c r="I427" i="4"/>
  <c r="E427" i="4"/>
  <c r="E419" i="4"/>
  <c r="E411" i="4"/>
  <c r="I403" i="4"/>
  <c r="E403" i="4"/>
  <c r="I395" i="4"/>
  <c r="E395" i="4"/>
  <c r="C387" i="4"/>
  <c r="E387" i="4"/>
  <c r="E380" i="4"/>
  <c r="E372" i="4"/>
  <c r="C364" i="4"/>
  <c r="E364" i="4"/>
  <c r="C356" i="4"/>
  <c r="I356" i="4"/>
  <c r="E356" i="4"/>
  <c r="C348" i="4"/>
  <c r="E348" i="4"/>
  <c r="E339" i="4"/>
  <c r="C331" i="4"/>
  <c r="I331" i="4"/>
  <c r="E331" i="4"/>
  <c r="E323" i="4"/>
  <c r="E315" i="4"/>
  <c r="C307" i="4"/>
  <c r="I307" i="4"/>
  <c r="E307" i="4"/>
  <c r="E299" i="4"/>
  <c r="I291" i="4"/>
  <c r="E291" i="4"/>
  <c r="I282" i="4"/>
  <c r="E282" i="4"/>
  <c r="C274" i="4"/>
  <c r="E274" i="4"/>
  <c r="I265" i="4"/>
  <c r="E265" i="4"/>
  <c r="E257" i="4"/>
  <c r="E249" i="4"/>
  <c r="C241" i="4"/>
  <c r="E241" i="4"/>
  <c r="E233" i="4"/>
  <c r="E225" i="4"/>
  <c r="E215" i="4"/>
  <c r="E205" i="4"/>
  <c r="E197" i="4"/>
  <c r="I189" i="4"/>
  <c r="E189" i="4"/>
  <c r="E181" i="4"/>
  <c r="E171" i="4"/>
  <c r="E162" i="4"/>
  <c r="E153" i="4"/>
  <c r="E145" i="4"/>
  <c r="I137" i="4"/>
  <c r="E137" i="4"/>
  <c r="E128" i="4"/>
  <c r="C121" i="4"/>
  <c r="E121" i="4"/>
  <c r="I113" i="4"/>
  <c r="E113" i="4"/>
  <c r="E104" i="4"/>
  <c r="E95" i="4"/>
  <c r="C21" i="4"/>
  <c r="I21" i="4"/>
  <c r="E21" i="4"/>
  <c r="E82" i="4"/>
  <c r="E72" i="4"/>
  <c r="I64" i="4"/>
  <c r="E64" i="4"/>
  <c r="E56" i="4"/>
  <c r="I47" i="4"/>
  <c r="E47" i="4"/>
  <c r="E37" i="4"/>
  <c r="E13" i="4"/>
  <c r="I3" i="4"/>
  <c r="E3" i="4"/>
  <c r="C98" i="4"/>
  <c r="E98" i="4"/>
  <c r="C131" i="4"/>
  <c r="E131" i="4"/>
  <c r="C216" i="4"/>
  <c r="I216" i="4"/>
  <c r="E216" i="4"/>
  <c r="I2" i="4"/>
  <c r="E2" i="4"/>
  <c r="E985" i="4"/>
  <c r="C969" i="4"/>
  <c r="I969" i="4"/>
  <c r="E969" i="4"/>
  <c r="E953" i="4"/>
  <c r="E937" i="4"/>
  <c r="E921" i="4"/>
  <c r="C905" i="4"/>
  <c r="E905" i="4"/>
  <c r="I893" i="4"/>
  <c r="E893" i="4"/>
  <c r="C875" i="4"/>
  <c r="E875" i="4"/>
  <c r="E857" i="4"/>
  <c r="E841" i="4"/>
  <c r="C827" i="4"/>
  <c r="I827" i="4"/>
  <c r="E827" i="4"/>
  <c r="E810" i="4"/>
  <c r="I793" i="4"/>
  <c r="E793" i="4"/>
  <c r="C778" i="4"/>
  <c r="I778" i="4"/>
  <c r="E778" i="4"/>
  <c r="I761" i="4"/>
  <c r="E761" i="4"/>
  <c r="E745" i="4"/>
  <c r="E730" i="4"/>
  <c r="E714" i="4"/>
  <c r="E697" i="4"/>
  <c r="I681" i="4"/>
  <c r="E681" i="4"/>
  <c r="E665" i="4"/>
  <c r="E649" i="4"/>
  <c r="E633" i="4"/>
  <c r="E6" i="4"/>
  <c r="I6" i="4"/>
  <c r="I604" i="4"/>
  <c r="E604" i="4"/>
  <c r="I586" i="4"/>
  <c r="E586" i="4"/>
  <c r="C571" i="4"/>
  <c r="E571" i="4"/>
  <c r="I554" i="4"/>
  <c r="E554" i="4"/>
  <c r="E537" i="4"/>
  <c r="C521" i="4"/>
  <c r="I521" i="4"/>
  <c r="E521" i="4"/>
  <c r="E504" i="4"/>
  <c r="C480" i="4"/>
  <c r="I480" i="4"/>
  <c r="E480" i="4"/>
  <c r="C361" i="4"/>
  <c r="E361" i="4"/>
  <c r="C211" i="4"/>
  <c r="I211" i="4"/>
  <c r="E211" i="4"/>
  <c r="E283" i="4"/>
  <c r="I993" i="4"/>
  <c r="E993" i="4"/>
  <c r="I977" i="4"/>
  <c r="E977" i="4"/>
  <c r="E961" i="4"/>
  <c r="I945" i="4"/>
  <c r="E945" i="4"/>
  <c r="E929" i="4"/>
  <c r="E914" i="4"/>
  <c r="E897" i="4"/>
  <c r="C884" i="4"/>
  <c r="I884" i="4"/>
  <c r="E884" i="4"/>
  <c r="E865" i="4"/>
  <c r="I849" i="4"/>
  <c r="E849" i="4"/>
  <c r="E815" i="4"/>
  <c r="I819" i="4"/>
  <c r="E819" i="4"/>
  <c r="C801" i="4"/>
  <c r="E801" i="4"/>
  <c r="I785" i="4"/>
  <c r="E785" i="4"/>
  <c r="E769" i="4"/>
  <c r="E754" i="4"/>
  <c r="C738" i="4"/>
  <c r="I738" i="4"/>
  <c r="E738" i="4"/>
  <c r="C722" i="4"/>
  <c r="E722" i="4"/>
  <c r="E706" i="4"/>
  <c r="E689" i="4"/>
  <c r="I673" i="4"/>
  <c r="E673" i="4"/>
  <c r="E657" i="4"/>
  <c r="E641" i="4"/>
  <c r="E625" i="4"/>
  <c r="E611" i="4"/>
  <c r="E594" i="4"/>
  <c r="E578" i="4"/>
  <c r="E562" i="4"/>
  <c r="C546" i="4"/>
  <c r="E546" i="4"/>
  <c r="C529" i="4"/>
  <c r="I529" i="4"/>
  <c r="E529" i="4"/>
  <c r="C513" i="4"/>
  <c r="I513" i="4"/>
  <c r="E513" i="4"/>
  <c r="C496" i="4"/>
  <c r="E496" i="4"/>
  <c r="C488" i="4"/>
  <c r="I488" i="4"/>
  <c r="E488" i="4"/>
  <c r="C473" i="4"/>
  <c r="E473" i="4"/>
  <c r="C464" i="4"/>
  <c r="E464" i="4"/>
  <c r="C456" i="4"/>
  <c r="I456" i="4"/>
  <c r="E456" i="4"/>
  <c r="E448" i="4"/>
  <c r="C440" i="4"/>
  <c r="E440" i="4"/>
  <c r="E432" i="4"/>
  <c r="I424" i="4"/>
  <c r="E424" i="4"/>
  <c r="E416" i="4"/>
  <c r="E408" i="4"/>
  <c r="C400" i="4"/>
  <c r="I400" i="4"/>
  <c r="E400" i="4"/>
  <c r="C392" i="4"/>
  <c r="E392" i="4"/>
  <c r="E384" i="4"/>
  <c r="C377" i="4"/>
  <c r="I377" i="4"/>
  <c r="E377" i="4"/>
  <c r="C369" i="4"/>
  <c r="I369" i="4"/>
  <c r="E369" i="4"/>
  <c r="E353" i="4"/>
  <c r="C344" i="4"/>
  <c r="E344" i="4"/>
  <c r="C336" i="4"/>
  <c r="I336" i="4"/>
  <c r="E336" i="4"/>
  <c r="C328" i="4"/>
  <c r="I328" i="4"/>
  <c r="E328" i="4"/>
  <c r="C320" i="4"/>
  <c r="E320" i="4"/>
  <c r="I312" i="4"/>
  <c r="E312" i="4"/>
  <c r="I304" i="4"/>
  <c r="E304" i="4"/>
  <c r="E296" i="4"/>
  <c r="C288" i="4"/>
  <c r="E288" i="4"/>
  <c r="E279" i="4"/>
  <c r="C270" i="4"/>
  <c r="I270" i="4"/>
  <c r="E270" i="4"/>
  <c r="D270" i="4" s="1"/>
  <c r="C262" i="4"/>
  <c r="E262" i="4"/>
  <c r="E254" i="4"/>
  <c r="C246" i="4"/>
  <c r="I246" i="4"/>
  <c r="E246" i="4"/>
  <c r="E238" i="4"/>
  <c r="E230" i="4"/>
  <c r="E222" i="4"/>
  <c r="C210" i="4"/>
  <c r="I210" i="4"/>
  <c r="E210" i="4"/>
  <c r="C203" i="4"/>
  <c r="E203" i="4"/>
  <c r="I194" i="4"/>
  <c r="E194" i="4"/>
  <c r="C186" i="4"/>
  <c r="I186" i="4"/>
  <c r="E186" i="4"/>
  <c r="E176" i="4"/>
  <c r="C167" i="4"/>
  <c r="I167" i="4"/>
  <c r="E167" i="4"/>
  <c r="C158" i="4"/>
  <c r="E158" i="4"/>
  <c r="C150" i="4"/>
  <c r="I150" i="4"/>
  <c r="E150" i="4"/>
  <c r="C142" i="4"/>
  <c r="E142" i="4"/>
  <c r="E134" i="4"/>
  <c r="C125" i="4"/>
  <c r="I125" i="4"/>
  <c r="E125" i="4"/>
  <c r="C117" i="4"/>
  <c r="I117" i="4"/>
  <c r="E117" i="4"/>
  <c r="C110" i="4"/>
  <c r="I110" i="4"/>
  <c r="E110" i="4"/>
  <c r="C101" i="4"/>
  <c r="E101" i="4"/>
  <c r="I92" i="4"/>
  <c r="E92" i="4"/>
  <c r="E86" i="4"/>
  <c r="C79" i="4"/>
  <c r="E79" i="4"/>
  <c r="C69" i="4"/>
  <c r="I69" i="4"/>
  <c r="E69" i="4"/>
  <c r="C61" i="4"/>
  <c r="E61" i="4"/>
  <c r="C52" i="4"/>
  <c r="E52" i="4"/>
  <c r="E44" i="4"/>
  <c r="I18" i="4"/>
  <c r="E18" i="4"/>
  <c r="C10" i="4"/>
  <c r="I10" i="4"/>
  <c r="E10" i="4"/>
  <c r="C160" i="4"/>
  <c r="I160" i="4"/>
  <c r="E160" i="4"/>
  <c r="C170" i="4"/>
  <c r="E170" i="4"/>
  <c r="C218" i="4"/>
  <c r="I218" i="4"/>
  <c r="E218" i="4"/>
  <c r="I1000" i="4"/>
  <c r="E1000" i="4"/>
  <c r="E992" i="4"/>
  <c r="I984" i="4"/>
  <c r="E984" i="4"/>
  <c r="E976" i="4"/>
  <c r="E968" i="4"/>
  <c r="I960" i="4"/>
  <c r="E960" i="4"/>
  <c r="E952" i="4"/>
  <c r="C944" i="4"/>
  <c r="I944" i="4"/>
  <c r="E944" i="4"/>
  <c r="I936" i="4"/>
  <c r="E936" i="4"/>
  <c r="E928" i="4"/>
  <c r="E920" i="4"/>
  <c r="C912" i="4"/>
  <c r="E912" i="4"/>
  <c r="E904" i="4"/>
  <c r="E896" i="4"/>
  <c r="E892" i="4"/>
  <c r="C883" i="4"/>
  <c r="E883" i="4"/>
  <c r="E874" i="4"/>
  <c r="E864" i="4"/>
  <c r="E856" i="4"/>
  <c r="I848" i="4"/>
  <c r="E848" i="4"/>
  <c r="E840" i="4"/>
  <c r="E805" i="4"/>
  <c r="I826" i="4"/>
  <c r="E826" i="4"/>
  <c r="E818" i="4"/>
  <c r="E809" i="4"/>
  <c r="C800" i="4"/>
  <c r="I800" i="4"/>
  <c r="E800" i="4"/>
  <c r="E792" i="4"/>
  <c r="E784" i="4"/>
  <c r="C776" i="4"/>
  <c r="E776" i="4"/>
  <c r="I768" i="4"/>
  <c r="E768" i="4"/>
  <c r="I760" i="4"/>
  <c r="E760" i="4"/>
  <c r="E752" i="4"/>
  <c r="E744" i="4"/>
  <c r="E737" i="4"/>
  <c r="I728" i="4"/>
  <c r="E728" i="4"/>
  <c r="C721" i="4"/>
  <c r="I721" i="4"/>
  <c r="E721" i="4"/>
  <c r="E713" i="4"/>
  <c r="I704" i="4"/>
  <c r="E704" i="4"/>
  <c r="C696" i="4"/>
  <c r="E696" i="4"/>
  <c r="I688" i="4"/>
  <c r="E688" i="4"/>
  <c r="I680" i="4"/>
  <c r="E680" i="4"/>
  <c r="C672" i="4"/>
  <c r="I672" i="4"/>
  <c r="E672" i="4"/>
  <c r="E664" i="4"/>
  <c r="I656" i="4"/>
  <c r="E656" i="4"/>
  <c r="I648" i="4"/>
  <c r="E648" i="4"/>
  <c r="E640" i="4"/>
  <c r="I632" i="4"/>
  <c r="E632" i="4"/>
  <c r="I624" i="4"/>
  <c r="E624" i="4"/>
  <c r="E618" i="4"/>
  <c r="I610" i="4"/>
  <c r="E610" i="4"/>
  <c r="I603" i="4"/>
  <c r="E603" i="4"/>
  <c r="E593" i="4"/>
  <c r="I585" i="4"/>
  <c r="E585" i="4"/>
  <c r="I577" i="4"/>
  <c r="E577" i="4"/>
  <c r="E570" i="4"/>
  <c r="I561" i="4"/>
  <c r="E561" i="4"/>
  <c r="I552" i="4"/>
  <c r="E552" i="4"/>
  <c r="E545" i="4"/>
  <c r="I536" i="4"/>
  <c r="E536" i="4"/>
  <c r="I528" i="4"/>
  <c r="E528" i="4"/>
  <c r="C520" i="4"/>
  <c r="E520" i="4"/>
  <c r="C512" i="4"/>
  <c r="I512" i="4"/>
  <c r="E512" i="4"/>
  <c r="I503" i="4"/>
  <c r="E503" i="4"/>
  <c r="I495" i="4"/>
  <c r="E495" i="4"/>
  <c r="I487" i="4"/>
  <c r="E487" i="4"/>
  <c r="E479" i="4"/>
  <c r="I472" i="4"/>
  <c r="E472" i="4"/>
  <c r="C463" i="4"/>
  <c r="E463" i="4"/>
  <c r="E455" i="4"/>
  <c r="E447" i="4"/>
  <c r="E439" i="4"/>
  <c r="I431" i="4"/>
  <c r="E431" i="4"/>
  <c r="E423" i="4"/>
  <c r="E415" i="4"/>
  <c r="I407" i="4"/>
  <c r="E407" i="4"/>
  <c r="E399" i="4"/>
  <c r="E391" i="4"/>
  <c r="I383" i="4"/>
  <c r="E383" i="4"/>
  <c r="E376" i="4"/>
  <c r="E368" i="4"/>
  <c r="I360" i="4"/>
  <c r="E360" i="4"/>
  <c r="I352" i="4"/>
  <c r="E352" i="4"/>
  <c r="E343" i="4"/>
  <c r="I335" i="4"/>
  <c r="E335" i="4"/>
  <c r="C327" i="4"/>
  <c r="I327" i="4"/>
  <c r="E327" i="4"/>
  <c r="I319" i="4"/>
  <c r="E319" i="4"/>
  <c r="I311" i="4"/>
  <c r="E311" i="4"/>
  <c r="E303" i="4"/>
  <c r="I295" i="4"/>
  <c r="E295" i="4"/>
  <c r="I287" i="4"/>
  <c r="E287" i="4"/>
  <c r="E278" i="4"/>
  <c r="I269" i="4"/>
  <c r="E269" i="4"/>
  <c r="C261" i="4"/>
  <c r="I261" i="4"/>
  <c r="E261" i="4"/>
  <c r="C253" i="4"/>
  <c r="E253" i="4"/>
  <c r="I245" i="4"/>
  <c r="E245" i="4"/>
  <c r="I234" i="4"/>
  <c r="E234" i="4"/>
  <c r="E229" i="4"/>
  <c r="C221" i="4"/>
  <c r="E221" i="4"/>
  <c r="I209" i="4"/>
  <c r="E209" i="4"/>
  <c r="E202" i="4"/>
  <c r="I193" i="4"/>
  <c r="E193" i="4"/>
  <c r="I185" i="4"/>
  <c r="E185" i="4"/>
  <c r="C175" i="4"/>
  <c r="E175" i="4"/>
  <c r="I166" i="4"/>
  <c r="E166" i="4"/>
  <c r="E157" i="4"/>
  <c r="C149" i="4"/>
  <c r="I149" i="4"/>
  <c r="E149" i="4"/>
  <c r="I141" i="4"/>
  <c r="E141" i="4"/>
  <c r="E133" i="4"/>
  <c r="C124" i="4"/>
  <c r="I124" i="4"/>
  <c r="E124" i="4"/>
  <c r="C106" i="4"/>
  <c r="E106" i="4"/>
  <c r="E109" i="4"/>
  <c r="I100" i="4"/>
  <c r="E100" i="4"/>
  <c r="C91" i="4"/>
  <c r="E91" i="4"/>
  <c r="E74" i="4"/>
  <c r="I78" i="4"/>
  <c r="E78" i="4"/>
  <c r="E68" i="4"/>
  <c r="E60" i="4"/>
  <c r="I51" i="4"/>
  <c r="E51" i="4"/>
  <c r="E42" i="4"/>
  <c r="I17" i="4"/>
  <c r="E17" i="4"/>
  <c r="E8" i="4"/>
  <c r="C934" i="4"/>
  <c r="I934" i="4"/>
  <c r="E934" i="4"/>
  <c r="E926" i="4"/>
  <c r="E913" i="4"/>
  <c r="I910" i="4"/>
  <c r="E910" i="4"/>
  <c r="C902" i="4"/>
  <c r="E902" i="4"/>
  <c r="I880" i="4"/>
  <c r="E880" i="4"/>
  <c r="I890" i="4"/>
  <c r="E890" i="4"/>
  <c r="C881" i="4"/>
  <c r="E881" i="4"/>
  <c r="I872" i="4"/>
  <c r="E872" i="4"/>
  <c r="I862" i="4"/>
  <c r="E862" i="4"/>
  <c r="E854" i="4"/>
  <c r="C846" i="4"/>
  <c r="I846" i="4"/>
  <c r="E846" i="4"/>
  <c r="I838" i="4"/>
  <c r="E838" i="4"/>
  <c r="C832" i="4"/>
  <c r="E832" i="4"/>
  <c r="C824" i="4"/>
  <c r="E824" i="4"/>
  <c r="I816" i="4"/>
  <c r="E816" i="4"/>
  <c r="E807" i="4"/>
  <c r="C798" i="4"/>
  <c r="I798" i="4"/>
  <c r="E798" i="4"/>
  <c r="I790" i="4"/>
  <c r="E790" i="4"/>
  <c r="E782" i="4"/>
  <c r="E774" i="4"/>
  <c r="I766" i="4"/>
  <c r="E766" i="4"/>
  <c r="C759" i="4"/>
  <c r="E759" i="4"/>
  <c r="E750" i="4"/>
  <c r="E742" i="4"/>
  <c r="C735" i="4"/>
  <c r="E735" i="4"/>
  <c r="C727" i="4"/>
  <c r="I727" i="4"/>
  <c r="E727" i="4"/>
  <c r="C719" i="4"/>
  <c r="E719" i="4"/>
  <c r="I711" i="4"/>
  <c r="E711" i="4"/>
  <c r="C702" i="4"/>
  <c r="I702" i="4"/>
  <c r="E702" i="4"/>
  <c r="E694" i="4"/>
  <c r="I686" i="4"/>
  <c r="E686" i="4"/>
  <c r="D686" i="4" s="1"/>
  <c r="C678" i="4"/>
  <c r="E678" i="4"/>
  <c r="C670" i="4"/>
  <c r="E670" i="4"/>
  <c r="C662" i="4"/>
  <c r="I662" i="4"/>
  <c r="E662" i="4"/>
  <c r="C654" i="4"/>
  <c r="E654" i="4"/>
  <c r="C646" i="4"/>
  <c r="E646" i="4"/>
  <c r="I638" i="4"/>
  <c r="E638" i="4"/>
  <c r="C630" i="4"/>
  <c r="I630" i="4"/>
  <c r="E630" i="4"/>
  <c r="C622" i="4"/>
  <c r="I622" i="4"/>
  <c r="E622" i="4"/>
  <c r="E616" i="4"/>
  <c r="E608" i="4"/>
  <c r="E600" i="4"/>
  <c r="E591" i="4"/>
  <c r="C583" i="4"/>
  <c r="I583" i="4"/>
  <c r="E583" i="4"/>
  <c r="C575" i="4"/>
  <c r="I575" i="4"/>
  <c r="E575" i="4"/>
  <c r="C567" i="4"/>
  <c r="E567" i="4"/>
  <c r="I559" i="4"/>
  <c r="E559" i="4"/>
  <c r="C553" i="4"/>
  <c r="I553" i="4"/>
  <c r="E553" i="4"/>
  <c r="C543" i="4"/>
  <c r="E543" i="4"/>
  <c r="I534" i="4"/>
  <c r="E534" i="4"/>
  <c r="I526" i="4"/>
  <c r="E526" i="4"/>
  <c r="C518" i="4"/>
  <c r="I518" i="4"/>
  <c r="E518" i="4"/>
  <c r="I510" i="4"/>
  <c r="E510" i="4"/>
  <c r="C501" i="4"/>
  <c r="E501" i="4"/>
  <c r="C493" i="4"/>
  <c r="I493" i="4"/>
  <c r="E493" i="4"/>
  <c r="C485" i="4"/>
  <c r="I485" i="4"/>
  <c r="E485" i="4"/>
  <c r="E477" i="4"/>
  <c r="C470" i="4"/>
  <c r="I470" i="4"/>
  <c r="E470" i="4"/>
  <c r="C461" i="4"/>
  <c r="E461" i="4"/>
  <c r="E453" i="4"/>
  <c r="C445" i="4"/>
  <c r="E445" i="4"/>
  <c r="C437" i="4"/>
  <c r="E437" i="4"/>
  <c r="I429" i="4"/>
  <c r="E429" i="4"/>
  <c r="C421" i="4"/>
  <c r="E421" i="4"/>
  <c r="E413" i="4"/>
  <c r="C405" i="4"/>
  <c r="I405" i="4"/>
  <c r="E405" i="4"/>
  <c r="E397" i="4"/>
  <c r="C389" i="4"/>
  <c r="E389" i="4"/>
  <c r="E345" i="4"/>
  <c r="C374" i="4"/>
  <c r="E374" i="4"/>
  <c r="C366" i="4"/>
  <c r="I366" i="4"/>
  <c r="E366" i="4"/>
  <c r="C358" i="4"/>
  <c r="E358" i="4"/>
  <c r="C350" i="4"/>
  <c r="E350" i="4"/>
  <c r="I341" i="4"/>
  <c r="E341" i="4"/>
  <c r="C333" i="4"/>
  <c r="E333" i="4"/>
  <c r="E325" i="4"/>
  <c r="I317" i="4"/>
  <c r="E317" i="4"/>
  <c r="C309" i="4"/>
  <c r="E309" i="4"/>
  <c r="E301" i="4"/>
  <c r="I293" i="4"/>
  <c r="E293" i="4"/>
  <c r="C285" i="4"/>
  <c r="I285" i="4"/>
  <c r="E285" i="4"/>
  <c r="C276" i="4"/>
  <c r="I276" i="4"/>
  <c r="E276" i="4"/>
  <c r="I267" i="4"/>
  <c r="E267" i="4"/>
  <c r="C259" i="4"/>
  <c r="I259" i="4"/>
  <c r="E259" i="4"/>
  <c r="C251" i="4"/>
  <c r="E251" i="4"/>
  <c r="E243" i="4"/>
  <c r="C236" i="4"/>
  <c r="E236" i="4"/>
  <c r="C227" i="4"/>
  <c r="E227" i="4"/>
  <c r="C219" i="4"/>
  <c r="E219" i="4"/>
  <c r="I207" i="4"/>
  <c r="E207" i="4"/>
  <c r="E199" i="4"/>
  <c r="C192" i="4"/>
  <c r="E192" i="4"/>
  <c r="C183" i="4"/>
  <c r="E183" i="4"/>
  <c r="C173" i="4"/>
  <c r="E173" i="4"/>
  <c r="I164" i="4"/>
  <c r="E164" i="4"/>
  <c r="C155" i="4"/>
  <c r="E155" i="4"/>
  <c r="C147" i="4"/>
  <c r="E147" i="4"/>
  <c r="C139" i="4"/>
  <c r="I139" i="4"/>
  <c r="E139" i="4"/>
  <c r="E130" i="4"/>
  <c r="E120" i="4"/>
  <c r="C115" i="4"/>
  <c r="I115" i="4"/>
  <c r="E115" i="4"/>
  <c r="E107" i="4"/>
  <c r="E97" i="4"/>
  <c r="E23" i="4"/>
  <c r="C84" i="4"/>
  <c r="I84" i="4"/>
  <c r="E84" i="4"/>
  <c r="E76" i="4"/>
  <c r="E66" i="4"/>
  <c r="C58" i="4"/>
  <c r="E58" i="4"/>
  <c r="I49" i="4"/>
  <c r="E49" i="4"/>
  <c r="C41" i="4"/>
  <c r="E41" i="4"/>
  <c r="C15" i="4"/>
  <c r="I15" i="4"/>
  <c r="C9" i="4"/>
  <c r="E9" i="4"/>
  <c r="E828" i="4"/>
  <c r="C88" i="4"/>
  <c r="E88" i="4"/>
  <c r="C89" i="4"/>
  <c r="I89" i="4"/>
  <c r="E89" i="4"/>
  <c r="E994" i="4"/>
  <c r="I986" i="4"/>
  <c r="E986" i="4"/>
  <c r="E979" i="4"/>
  <c r="E970" i="4"/>
  <c r="I962" i="4"/>
  <c r="E962" i="4"/>
  <c r="E954" i="4"/>
  <c r="E946" i="4"/>
  <c r="I938" i="4"/>
  <c r="E938" i="4"/>
  <c r="E930" i="4"/>
  <c r="E922" i="4"/>
  <c r="E915" i="4"/>
  <c r="E906" i="4"/>
  <c r="C898" i="4"/>
  <c r="I898" i="4"/>
  <c r="E898" i="4"/>
  <c r="I894" i="4"/>
  <c r="E894" i="4"/>
  <c r="E885" i="4"/>
  <c r="I876" i="4"/>
  <c r="E876" i="4"/>
  <c r="C866" i="4"/>
  <c r="E866" i="4"/>
  <c r="E858" i="4"/>
  <c r="I850" i="4"/>
  <c r="E850" i="4"/>
  <c r="E842" i="4"/>
  <c r="C834" i="4"/>
  <c r="E834" i="4"/>
  <c r="I820" i="4"/>
  <c r="E820" i="4"/>
  <c r="E811" i="4"/>
  <c r="I802" i="4"/>
  <c r="E802" i="4"/>
  <c r="C794" i="4"/>
  <c r="E794" i="4"/>
  <c r="I786" i="4"/>
  <c r="E786" i="4"/>
  <c r="I779" i="4"/>
  <c r="E779" i="4"/>
  <c r="E770" i="4"/>
  <c r="C762" i="4"/>
  <c r="I762" i="4"/>
  <c r="E762" i="4"/>
  <c r="I755" i="4"/>
  <c r="E755" i="4"/>
  <c r="E746" i="4"/>
  <c r="E729" i="4"/>
  <c r="E731" i="4"/>
  <c r="C723" i="4"/>
  <c r="E723" i="4"/>
  <c r="E715" i="4"/>
  <c r="I707" i="4"/>
  <c r="E707" i="4"/>
  <c r="I698" i="4"/>
  <c r="E698" i="4"/>
  <c r="E690" i="4"/>
  <c r="C682" i="4"/>
  <c r="E682" i="4"/>
  <c r="C674" i="4"/>
  <c r="E674" i="4"/>
  <c r="E666" i="4"/>
  <c r="I658" i="4"/>
  <c r="E658" i="4"/>
  <c r="E650" i="4"/>
  <c r="E642" i="4"/>
  <c r="I634" i="4"/>
  <c r="E634" i="4"/>
  <c r="C626" i="4"/>
  <c r="E626" i="4"/>
  <c r="I7" i="4"/>
  <c r="E7" i="4"/>
  <c r="C612" i="4"/>
  <c r="E612" i="4"/>
  <c r="E605" i="4"/>
  <c r="C595" i="4"/>
  <c r="I595" i="4"/>
  <c r="E595" i="4"/>
  <c r="E587" i="4"/>
  <c r="E579" i="4"/>
  <c r="C572" i="4"/>
  <c r="I572" i="4"/>
  <c r="E572" i="4"/>
  <c r="E563" i="4"/>
  <c r="E555" i="4"/>
  <c r="C548" i="4"/>
  <c r="E548" i="4"/>
  <c r="E538" i="4"/>
  <c r="I530" i="4"/>
  <c r="E530" i="4"/>
  <c r="E522" i="4"/>
  <c r="E514" i="4"/>
  <c r="I505" i="4"/>
  <c r="E505" i="4"/>
  <c r="C497" i="4"/>
  <c r="E497" i="4"/>
  <c r="E489" i="4"/>
  <c r="I481" i="4"/>
  <c r="E481" i="4"/>
  <c r="E469" i="4"/>
  <c r="E465" i="4"/>
  <c r="I457" i="4"/>
  <c r="E457" i="4"/>
  <c r="E449" i="4"/>
  <c r="E441" i="4"/>
  <c r="C433" i="4"/>
  <c r="E433" i="4"/>
  <c r="E425" i="4"/>
  <c r="I417" i="4"/>
  <c r="E417" i="4"/>
  <c r="E409" i="4"/>
  <c r="E401" i="4"/>
  <c r="I393" i="4"/>
  <c r="E393" i="4"/>
  <c r="E385" i="4"/>
  <c r="I378" i="4"/>
  <c r="E378" i="4"/>
  <c r="C370" i="4"/>
  <c r="I370" i="4"/>
  <c r="E370" i="4"/>
  <c r="C362" i="4"/>
  <c r="E362" i="4"/>
  <c r="C354" i="4"/>
  <c r="I354" i="4"/>
  <c r="E354" i="4"/>
  <c r="E346" i="4"/>
  <c r="I337" i="4"/>
  <c r="E337" i="4"/>
  <c r="I329" i="4"/>
  <c r="E329" i="4"/>
  <c r="E321" i="4"/>
  <c r="C313" i="4"/>
  <c r="I313" i="4"/>
  <c r="E313" i="4"/>
  <c r="I305" i="4"/>
  <c r="E305" i="4"/>
  <c r="E297" i="4"/>
  <c r="E289" i="4"/>
  <c r="E280" i="4"/>
  <c r="I271" i="4"/>
  <c r="E271" i="4"/>
  <c r="E263" i="4"/>
  <c r="E255" i="4"/>
  <c r="I247" i="4"/>
  <c r="E247" i="4"/>
  <c r="E239" i="4"/>
  <c r="E231" i="4"/>
  <c r="I223" i="4"/>
  <c r="E223" i="4"/>
  <c r="E213" i="4"/>
  <c r="C204" i="4"/>
  <c r="I204" i="4"/>
  <c r="E204" i="4"/>
  <c r="I195" i="4"/>
  <c r="E195" i="4"/>
  <c r="E187" i="4"/>
  <c r="I178" i="4"/>
  <c r="E178" i="4"/>
  <c r="E168" i="4"/>
  <c r="C159" i="4"/>
  <c r="E159" i="4"/>
  <c r="C151" i="4"/>
  <c r="I151" i="4"/>
  <c r="E151" i="4"/>
  <c r="E143" i="4"/>
  <c r="E135" i="4"/>
  <c r="C126" i="4"/>
  <c r="E126" i="4"/>
  <c r="C118" i="4"/>
  <c r="I118" i="4"/>
  <c r="E118" i="4"/>
  <c r="I111" i="4"/>
  <c r="E111" i="4"/>
  <c r="E102" i="4"/>
  <c r="E93" i="4"/>
  <c r="E87" i="4"/>
  <c r="I80" i="4"/>
  <c r="E80" i="4"/>
  <c r="C70" i="4"/>
  <c r="I70" i="4"/>
  <c r="E70" i="4"/>
  <c r="E62" i="4"/>
  <c r="E54" i="4"/>
  <c r="E45" i="4"/>
  <c r="I19" i="4"/>
  <c r="E19" i="4"/>
  <c r="E11" i="4"/>
  <c r="B2" i="5" a="1"/>
  <c r="B2" i="5" s="1"/>
  <c r="L9" i="7"/>
  <c r="L8" i="7"/>
  <c r="L7" i="7"/>
  <c r="L6" i="7"/>
  <c r="L5" i="7"/>
  <c r="L4" i="7"/>
  <c r="D3" i="7" a="1"/>
  <c r="D3" i="7" s="1"/>
  <c r="C339" i="4"/>
  <c r="C879" i="4"/>
  <c r="C853" i="4"/>
  <c r="C831" i="4"/>
  <c r="C797" i="4"/>
  <c r="C701" i="4"/>
  <c r="C637" i="4"/>
  <c r="C582" i="4"/>
  <c r="C566" i="4"/>
  <c r="C533" i="4"/>
  <c r="C500" i="4"/>
  <c r="C428" i="4"/>
  <c r="C404" i="4"/>
  <c r="C396" i="4"/>
  <c r="C381" i="4"/>
  <c r="C365" i="4"/>
  <c r="C324" i="4"/>
  <c r="C316" i="4"/>
  <c r="C308" i="4"/>
  <c r="C292" i="4"/>
  <c r="C275" i="4"/>
  <c r="C206" i="4"/>
  <c r="C191" i="4"/>
  <c r="C163" i="4"/>
  <c r="C154" i="4"/>
  <c r="C122" i="4"/>
  <c r="C114" i="4"/>
  <c r="C105" i="4"/>
  <c r="C96" i="4"/>
  <c r="C22" i="4"/>
  <c r="C65" i="4"/>
  <c r="C48" i="4"/>
  <c r="C788" i="4"/>
  <c r="C780" i="4"/>
  <c r="C772" i="4"/>
  <c r="C764" i="4"/>
  <c r="C757" i="4"/>
  <c r="C748" i="4"/>
  <c r="C740" i="4"/>
  <c r="C733" i="4"/>
  <c r="C709" i="4"/>
  <c r="C700" i="4"/>
  <c r="C692" i="4"/>
  <c r="C684" i="4"/>
  <c r="C676" i="4"/>
  <c r="C668" i="4"/>
  <c r="C660" i="4"/>
  <c r="C652" i="4"/>
  <c r="C644" i="4"/>
  <c r="C636" i="4"/>
  <c r="C620" i="4"/>
  <c r="C614" i="4"/>
  <c r="C598" i="4"/>
  <c r="C589" i="4"/>
  <c r="C565" i="4"/>
  <c r="C557" i="4"/>
  <c r="C550" i="4"/>
  <c r="C541" i="4"/>
  <c r="C532" i="4"/>
  <c r="C524" i="4"/>
  <c r="C516" i="4"/>
  <c r="C508" i="4"/>
  <c r="C499" i="4"/>
  <c r="C491" i="4"/>
  <c r="C483" i="4"/>
  <c r="C475" i="4"/>
  <c r="C459" i="4"/>
  <c r="C451" i="4"/>
  <c r="C443" i="4"/>
  <c r="C427" i="4"/>
  <c r="C419" i="4"/>
  <c r="C411" i="4"/>
  <c r="C403" i="4"/>
  <c r="C395" i="4"/>
  <c r="C380" i="4"/>
  <c r="C372" i="4"/>
  <c r="C323" i="4"/>
  <c r="C315" i="4"/>
  <c r="C299" i="4"/>
  <c r="C291" i="4"/>
  <c r="C282" i="4"/>
  <c r="C265" i="4"/>
  <c r="C257" i="4"/>
  <c r="C249" i="4"/>
  <c r="C233" i="4"/>
  <c r="C225" i="4"/>
  <c r="C215" i="4"/>
  <c r="C205" i="4"/>
  <c r="C197" i="4"/>
  <c r="C189" i="4"/>
  <c r="C181" i="4"/>
  <c r="C171" i="4"/>
  <c r="C162" i="4"/>
  <c r="C153" i="4"/>
  <c r="C145" i="4"/>
  <c r="C137" i="4"/>
  <c r="C128" i="4"/>
  <c r="C113" i="4"/>
  <c r="C104" i="4"/>
  <c r="C95" i="4"/>
  <c r="C82" i="4"/>
  <c r="C72" i="4"/>
  <c r="C64" i="4"/>
  <c r="C56" i="4"/>
  <c r="C47" i="4"/>
  <c r="C37" i="4"/>
  <c r="C13" i="4"/>
  <c r="C3" i="4"/>
  <c r="C990" i="4"/>
  <c r="C982" i="4"/>
  <c r="C974" i="4"/>
  <c r="C966" i="4"/>
  <c r="C958" i="4"/>
  <c r="C950" i="4"/>
  <c r="C942" i="4"/>
  <c r="C880" i="4"/>
  <c r="C890" i="4"/>
  <c r="C872" i="4"/>
  <c r="C838" i="4"/>
  <c r="C816" i="4"/>
  <c r="C807" i="4"/>
  <c r="C790" i="4"/>
  <c r="C774" i="4"/>
  <c r="C981" i="4"/>
  <c r="C965" i="4"/>
  <c r="C949" i="4"/>
  <c r="C941" i="4"/>
  <c r="C933" i="4"/>
  <c r="C925" i="4"/>
  <c r="C773" i="4"/>
  <c r="C749" i="4"/>
  <c r="C629" i="4"/>
  <c r="C517" i="4"/>
  <c r="C523" i="4"/>
  <c r="C490" i="4"/>
  <c r="C450" i="4"/>
  <c r="C426" i="4"/>
  <c r="C418" i="4"/>
  <c r="C410" i="4"/>
  <c r="C402" i="4"/>
  <c r="C394" i="4"/>
  <c r="C386" i="4"/>
  <c r="C379" i="4"/>
  <c r="C371" i="4"/>
  <c r="C363" i="4"/>
  <c r="C355" i="4"/>
  <c r="C347" i="4"/>
  <c r="C338" i="4"/>
  <c r="C322" i="4"/>
  <c r="C314" i="4"/>
  <c r="C306" i="4"/>
  <c r="C298" i="4"/>
  <c r="C290" i="4"/>
  <c r="C281" i="4"/>
  <c r="C264" i="4"/>
  <c r="C256" i="4"/>
  <c r="C248" i="4"/>
  <c r="C224" i="4"/>
  <c r="C214" i="4"/>
  <c r="C196" i="4"/>
  <c r="C188" i="4"/>
  <c r="C180" i="4"/>
  <c r="C169" i="4"/>
  <c r="C161" i="4"/>
  <c r="C136" i="4"/>
  <c r="C127" i="4"/>
  <c r="C119" i="4"/>
  <c r="C112" i="4"/>
  <c r="C103" i="4"/>
  <c r="C94" i="4"/>
  <c r="C63" i="4"/>
  <c r="C55" i="4"/>
  <c r="C46" i="4"/>
  <c r="C20" i="4"/>
  <c r="C12" i="4"/>
  <c r="C989" i="4"/>
  <c r="C870" i="4"/>
  <c r="C781" i="4"/>
  <c r="C693" i="4"/>
  <c r="C669" i="4"/>
  <c r="C645" i="4"/>
  <c r="C615" i="4"/>
  <c r="C590" i="4"/>
  <c r="C558" i="4"/>
  <c r="C525" i="4"/>
  <c r="C492" i="4"/>
  <c r="C476" i="4"/>
  <c r="C444" i="4"/>
  <c r="C436" i="4"/>
  <c r="C412" i="4"/>
  <c r="C349" i="4"/>
  <c r="C340" i="4"/>
  <c r="C284" i="4"/>
  <c r="C266" i="4"/>
  <c r="C250" i="4"/>
  <c r="C242" i="4"/>
  <c r="C226" i="4"/>
  <c r="C198" i="4"/>
  <c r="C182" i="4"/>
  <c r="C146" i="4"/>
  <c r="C129" i="4"/>
  <c r="C57" i="4"/>
  <c r="C40" i="4"/>
  <c r="C932" i="4"/>
  <c r="C908" i="4"/>
  <c r="C868" i="4"/>
  <c r="C804" i="4"/>
  <c r="C994" i="4"/>
  <c r="C986" i="4"/>
  <c r="C979" i="4"/>
  <c r="C962" i="4"/>
  <c r="C954" i="4"/>
  <c r="C946" i="4"/>
  <c r="C938" i="4"/>
  <c r="C930" i="4"/>
  <c r="C922" i="4"/>
  <c r="C915" i="4"/>
  <c r="C906" i="4"/>
  <c r="C894" i="4"/>
  <c r="C885" i="4"/>
  <c r="C876" i="4"/>
  <c r="C858" i="4"/>
  <c r="C850" i="4"/>
  <c r="C842" i="4"/>
  <c r="C828" i="4"/>
  <c r="C820" i="4"/>
  <c r="C811" i="4"/>
  <c r="C802" i="4"/>
  <c r="C786" i="4"/>
  <c r="C779" i="4"/>
  <c r="C770" i="4"/>
  <c r="C746" i="4"/>
  <c r="C729" i="4"/>
  <c r="C731" i="4"/>
  <c r="C715" i="4"/>
  <c r="C707" i="4"/>
  <c r="C698" i="4"/>
  <c r="C690" i="4"/>
  <c r="C666" i="4"/>
  <c r="C658" i="4"/>
  <c r="C650" i="4"/>
  <c r="C642" i="4"/>
  <c r="C634" i="4"/>
  <c r="C605" i="4"/>
  <c r="C587" i="4"/>
  <c r="C579" i="4"/>
  <c r="C563" i="4"/>
  <c r="C555" i="4"/>
  <c r="C538" i="4"/>
  <c r="C530" i="4"/>
  <c r="C522" i="4"/>
  <c r="C514" i="4"/>
  <c r="C505" i="4"/>
  <c r="C489" i="4"/>
  <c r="C481" i="4"/>
  <c r="C469" i="4"/>
  <c r="C465" i="4"/>
  <c r="C457" i="4"/>
  <c r="C449" i="4"/>
  <c r="C441" i="4"/>
  <c r="C425" i="4"/>
  <c r="C417" i="4"/>
  <c r="C409" i="4"/>
  <c r="C401" i="4"/>
  <c r="C393" i="4"/>
  <c r="C385" i="4"/>
  <c r="C378" i="4"/>
  <c r="C346" i="4"/>
  <c r="C337" i="4"/>
  <c r="C329" i="4"/>
  <c r="C321" i="4"/>
  <c r="C305" i="4"/>
  <c r="C297" i="4"/>
  <c r="C289" i="4"/>
  <c r="C280" i="4"/>
  <c r="C271" i="4"/>
  <c r="C263" i="4"/>
  <c r="C255" i="4"/>
  <c r="C247" i="4"/>
  <c r="C239" i="4"/>
  <c r="C231" i="4"/>
  <c r="C213" i="4"/>
  <c r="C195" i="4"/>
  <c r="C187" i="4"/>
  <c r="C178" i="4"/>
  <c r="C168" i="4"/>
  <c r="C143" i="4"/>
  <c r="C135" i="4"/>
  <c r="C111" i="4"/>
  <c r="C102" i="4"/>
  <c r="C93" i="4"/>
  <c r="C87" i="4"/>
  <c r="C80" i="4"/>
  <c r="C62" i="4"/>
  <c r="C54" i="4"/>
  <c r="C45" i="4"/>
  <c r="C19" i="4"/>
  <c r="C11" i="4"/>
  <c r="C806" i="4"/>
  <c r="C758" i="4"/>
  <c r="C741" i="4"/>
  <c r="C710" i="4"/>
  <c r="C661" i="4"/>
  <c r="C542" i="4"/>
  <c r="C283" i="4"/>
  <c r="C993" i="4"/>
  <c r="C985" i="4"/>
  <c r="C977" i="4"/>
  <c r="C961" i="4"/>
  <c r="C953" i="4"/>
  <c r="C945" i="4"/>
  <c r="C937" i="4"/>
  <c r="C929" i="4"/>
  <c r="C921" i="4"/>
  <c r="C914" i="4"/>
  <c r="C897" i="4"/>
  <c r="C893" i="4"/>
  <c r="C865" i="4"/>
  <c r="C857" i="4"/>
  <c r="C849" i="4"/>
  <c r="C841" i="4"/>
  <c r="C819" i="4"/>
  <c r="C810" i="4"/>
  <c r="C793" i="4"/>
  <c r="C785" i="4"/>
  <c r="C769" i="4"/>
  <c r="C761" i="4"/>
  <c r="C754" i="4"/>
  <c r="C745" i="4"/>
  <c r="C730" i="4"/>
  <c r="C714" i="4"/>
  <c r="C706" i="4"/>
  <c r="C697" i="4"/>
  <c r="C689" i="4"/>
  <c r="C681" i="4"/>
  <c r="C673" i="4"/>
  <c r="C665" i="4"/>
  <c r="C657" i="4"/>
  <c r="C649" i="4"/>
  <c r="C641" i="4"/>
  <c r="C633" i="4"/>
  <c r="C625" i="4"/>
  <c r="C611" i="4"/>
  <c r="C604" i="4"/>
  <c r="C594" i="4"/>
  <c r="C586" i="4"/>
  <c r="C578" i="4"/>
  <c r="C923" i="4"/>
  <c r="C926" i="4"/>
  <c r="C910" i="4"/>
  <c r="C862" i="4"/>
  <c r="C854" i="4"/>
  <c r="C782" i="4"/>
  <c r="C871" i="4"/>
  <c r="C814" i="4"/>
  <c r="C621" i="4"/>
  <c r="C599" i="4"/>
  <c r="C574" i="4"/>
  <c r="C551" i="4"/>
  <c r="C509" i="4"/>
  <c r="C484" i="4"/>
  <c r="C468" i="4"/>
  <c r="C388" i="4"/>
  <c r="C357" i="4"/>
  <c r="C217" i="4"/>
  <c r="C172" i="4"/>
  <c r="C138" i="4"/>
  <c r="C75" i="4"/>
  <c r="C768" i="4"/>
  <c r="C760" i="4"/>
  <c r="C752" i="4"/>
  <c r="C744" i="4"/>
  <c r="C737" i="4"/>
  <c r="C728" i="4"/>
  <c r="C713" i="4"/>
  <c r="C704" i="4"/>
  <c r="C688" i="4"/>
  <c r="C680" i="4"/>
  <c r="C664" i="4"/>
  <c r="C656" i="4"/>
  <c r="C648" i="4"/>
  <c r="C640" i="4"/>
  <c r="C632" i="4"/>
  <c r="C624" i="4"/>
  <c r="C618" i="4"/>
  <c r="C610" i="4"/>
  <c r="C603" i="4"/>
  <c r="C593" i="4"/>
  <c r="C585" i="4"/>
  <c r="C577" i="4"/>
  <c r="C570" i="4"/>
  <c r="C561" i="4"/>
  <c r="C545" i="4"/>
  <c r="C536" i="4"/>
  <c r="C528" i="4"/>
  <c r="C503" i="4"/>
  <c r="C495" i="4"/>
  <c r="C479" i="4"/>
  <c r="C472" i="4"/>
  <c r="C455" i="4"/>
  <c r="C447" i="4"/>
  <c r="C431" i="4"/>
  <c r="C423" i="4"/>
  <c r="C415" i="4"/>
  <c r="C407" i="4"/>
  <c r="C399" i="4"/>
  <c r="C391" i="4"/>
  <c r="C383" i="4"/>
  <c r="C376" i="4"/>
  <c r="C368" i="4"/>
  <c r="C360" i="4"/>
  <c r="C352" i="4"/>
  <c r="C343" i="4"/>
  <c r="C335" i="4"/>
  <c r="C319" i="4"/>
  <c r="C311" i="4"/>
  <c r="C303" i="4"/>
  <c r="C295" i="4"/>
  <c r="C287" i="4"/>
  <c r="C278" i="4"/>
  <c r="C269" i="4"/>
  <c r="C245" i="4"/>
  <c r="C234" i="4"/>
  <c r="C229" i="4"/>
  <c r="C209" i="4"/>
  <c r="C202" i="4"/>
  <c r="C193" i="4"/>
  <c r="C185" i="4"/>
  <c r="C166" i="4"/>
  <c r="C157" i="4"/>
  <c r="C141" i="4"/>
  <c r="C133" i="4"/>
  <c r="C109" i="4"/>
  <c r="C100" i="4"/>
  <c r="C78" i="4"/>
  <c r="C68" i="4"/>
  <c r="C60" i="4"/>
  <c r="C51" i="4"/>
  <c r="C42" i="4"/>
  <c r="C17" i="4"/>
  <c r="C859" i="4"/>
  <c r="C997" i="4"/>
  <c r="C973" i="4"/>
  <c r="C957" i="4"/>
  <c r="C988" i="4"/>
  <c r="C978" i="4"/>
  <c r="C964" i="4"/>
  <c r="C956" i="4"/>
  <c r="C918" i="4"/>
  <c r="C900" i="4"/>
  <c r="C878" i="4"/>
  <c r="C860" i="4"/>
  <c r="C852" i="4"/>
  <c r="C844" i="4"/>
  <c r="C836" i="4"/>
  <c r="C822" i="4"/>
  <c r="C813" i="4"/>
  <c r="C995" i="4"/>
  <c r="C987" i="4"/>
  <c r="C963" i="4"/>
  <c r="C955" i="4"/>
  <c r="C947" i="4"/>
  <c r="C939" i="4"/>
  <c r="C931" i="4"/>
  <c r="C917" i="4"/>
  <c r="C895" i="4"/>
  <c r="C886" i="4"/>
  <c r="C877" i="4"/>
  <c r="C851" i="4"/>
  <c r="C812" i="4"/>
  <c r="C803" i="4"/>
  <c r="C795" i="4"/>
  <c r="C771" i="4"/>
  <c r="C763" i="4"/>
  <c r="C747" i="4"/>
  <c r="C739" i="4"/>
  <c r="C724" i="4"/>
  <c r="C708" i="4"/>
  <c r="C699" i="4"/>
  <c r="C691" i="4"/>
  <c r="C683" i="4"/>
  <c r="C675" i="4"/>
  <c r="C659" i="4"/>
  <c r="C651" i="4"/>
  <c r="C643" i="4"/>
  <c r="C635" i="4"/>
  <c r="C627" i="4"/>
  <c r="C619" i="4"/>
  <c r="C613" i="4"/>
  <c r="C596" i="4"/>
  <c r="C588" i="4"/>
  <c r="C580" i="4"/>
  <c r="C564" i="4"/>
  <c r="C556" i="4"/>
  <c r="C539" i="4"/>
  <c r="C1000" i="4"/>
  <c r="C992" i="4"/>
  <c r="C984" i="4"/>
  <c r="C976" i="4"/>
  <c r="C968" i="4"/>
  <c r="C960" i="4"/>
  <c r="C952" i="4"/>
  <c r="C936" i="4"/>
  <c r="C928" i="4"/>
  <c r="C920" i="4"/>
  <c r="C904" i="4"/>
  <c r="C896" i="4"/>
  <c r="C892" i="4"/>
  <c r="C874" i="4"/>
  <c r="C864" i="4"/>
  <c r="C856" i="4"/>
  <c r="C848" i="4"/>
  <c r="C840" i="4"/>
  <c r="C826" i="4"/>
  <c r="C818" i="4"/>
  <c r="C809" i="4"/>
  <c r="C792" i="4"/>
  <c r="C784" i="4"/>
  <c r="C991" i="4"/>
  <c r="C983" i="4"/>
  <c r="C975" i="4"/>
  <c r="C959" i="4"/>
  <c r="C951" i="4"/>
  <c r="C935" i="4"/>
  <c r="C927" i="4"/>
  <c r="C916" i="4"/>
  <c r="C903" i="4"/>
  <c r="C888" i="4"/>
  <c r="C873" i="4"/>
  <c r="C863" i="4"/>
  <c r="C855" i="4"/>
  <c r="C839" i="4"/>
  <c r="C817" i="4"/>
  <c r="C808" i="4"/>
  <c r="C799" i="4"/>
  <c r="C791" i="4"/>
  <c r="C783" i="4"/>
  <c r="C775" i="4"/>
  <c r="C767" i="4"/>
  <c r="C753" i="4"/>
  <c r="C743" i="4"/>
  <c r="C705" i="4"/>
  <c r="C720" i="4"/>
  <c r="C712" i="4"/>
  <c r="C703" i="4"/>
  <c r="C687" i="4"/>
  <c r="C679" i="4"/>
  <c r="C671" i="4"/>
  <c r="C663" i="4"/>
  <c r="C647" i="4"/>
  <c r="C623" i="4"/>
  <c r="C617" i="4"/>
  <c r="C609" i="4"/>
  <c r="C601" i="4"/>
  <c r="C592" i="4"/>
  <c r="C584" i="4"/>
  <c r="C568" i="4"/>
  <c r="C560" i="4"/>
  <c r="C547" i="4"/>
  <c r="C544" i="4"/>
  <c r="C535" i="4"/>
  <c r="C527" i="4"/>
  <c r="C511" i="4"/>
  <c r="C502" i="4"/>
  <c r="C478" i="4"/>
  <c r="C471" i="4"/>
  <c r="C454" i="4"/>
  <c r="C446" i="4"/>
  <c r="C438" i="4"/>
  <c r="C430" i="4"/>
  <c r="C422" i="4"/>
  <c r="C414" i="4"/>
  <c r="C398" i="4"/>
  <c r="C390" i="4"/>
  <c r="C382" i="4"/>
  <c r="C367" i="4"/>
  <c r="C359" i="4"/>
  <c r="C351" i="4"/>
  <c r="C342" i="4"/>
  <c r="C334" i="4"/>
  <c r="C326" i="4"/>
  <c r="C318" i="4"/>
  <c r="C294" i="4"/>
  <c r="C268" i="4"/>
  <c r="C260" i="4"/>
  <c r="C201" i="4"/>
  <c r="C190" i="4"/>
  <c r="C184" i="4"/>
  <c r="C174" i="4"/>
  <c r="C165" i="4"/>
  <c r="C156" i="4"/>
  <c r="C140" i="4"/>
  <c r="C132" i="4"/>
  <c r="C108" i="4"/>
  <c r="C24" i="4"/>
  <c r="C85" i="4"/>
  <c r="C77" i="4"/>
  <c r="C67" i="4"/>
  <c r="C59" i="4"/>
  <c r="C50" i="4"/>
  <c r="C38" i="4"/>
  <c r="C16" i="4"/>
  <c r="C562" i="4"/>
  <c r="C554" i="4"/>
  <c r="C537" i="4"/>
  <c r="C504" i="4"/>
  <c r="C448" i="4"/>
  <c r="C424" i="4"/>
  <c r="C416" i="4"/>
  <c r="C408" i="4"/>
  <c r="C384" i="4"/>
  <c r="C353" i="4"/>
  <c r="C312" i="4"/>
  <c r="C304" i="4"/>
  <c r="C296" i="4"/>
  <c r="C279" i="4"/>
  <c r="C254" i="4"/>
  <c r="C238" i="4"/>
  <c r="C230" i="4"/>
  <c r="C222" i="4"/>
  <c r="C194" i="4"/>
  <c r="C176" i="4"/>
  <c r="C134" i="4"/>
  <c r="C92" i="4"/>
  <c r="C86" i="4"/>
  <c r="C44" i="4"/>
  <c r="C18" i="4"/>
  <c r="C766" i="4"/>
  <c r="C750" i="4"/>
  <c r="C742" i="4"/>
  <c r="C711" i="4"/>
  <c r="C694" i="4"/>
  <c r="C686" i="4"/>
  <c r="C638" i="4"/>
  <c r="C608" i="4"/>
  <c r="C600" i="4"/>
  <c r="C591" i="4"/>
  <c r="C559" i="4"/>
  <c r="C534" i="4"/>
  <c r="C526" i="4"/>
  <c r="C510" i="4"/>
  <c r="C477" i="4"/>
  <c r="C453" i="4"/>
  <c r="C429" i="4"/>
  <c r="C413" i="4"/>
  <c r="C397" i="4"/>
  <c r="C345" i="4"/>
  <c r="C341" i="4"/>
  <c r="C325" i="4"/>
  <c r="C317" i="4"/>
  <c r="C301" i="4"/>
  <c r="C293" i="4"/>
  <c r="C267" i="4"/>
  <c r="C243" i="4"/>
  <c r="C207" i="4"/>
  <c r="C199" i="4"/>
  <c r="C164" i="4"/>
  <c r="C130" i="4"/>
  <c r="C107" i="4"/>
  <c r="C97" i="4"/>
  <c r="C23" i="4"/>
  <c r="C76" i="4"/>
  <c r="C66" i="4"/>
  <c r="C49" i="4"/>
  <c r="C41" i="3"/>
  <c r="D85" i="3"/>
  <c r="C72" i="3"/>
  <c r="C8" i="3"/>
  <c r="C97" i="3"/>
  <c r="C96" i="3"/>
  <c r="C64" i="3"/>
  <c r="C32" i="3"/>
  <c r="D108" i="3"/>
  <c r="D61" i="3"/>
  <c r="C73" i="3"/>
  <c r="D77" i="3"/>
  <c r="C65" i="3"/>
  <c r="C33" i="3"/>
  <c r="D109" i="3"/>
  <c r="D5" i="3"/>
  <c r="C89" i="3"/>
  <c r="C57" i="3"/>
  <c r="C25" i="3"/>
  <c r="D101" i="3"/>
  <c r="D53" i="3"/>
  <c r="C105" i="3"/>
  <c r="C9" i="3"/>
  <c r="D21" i="3"/>
  <c r="C40" i="3"/>
  <c r="D69" i="3"/>
  <c r="C88" i="3"/>
  <c r="C56" i="3"/>
  <c r="C24" i="3"/>
  <c r="D100" i="3"/>
  <c r="B2" i="3"/>
  <c r="D6" i="3"/>
  <c r="D14" i="3"/>
  <c r="D22" i="3"/>
  <c r="D30" i="3"/>
  <c r="D38" i="3"/>
  <c r="D46" i="3"/>
  <c r="D54" i="3"/>
  <c r="D62" i="3"/>
  <c r="D70" i="3"/>
  <c r="D78" i="3"/>
  <c r="D86" i="3"/>
  <c r="D94" i="3"/>
  <c r="D102" i="3"/>
  <c r="D110" i="3"/>
  <c r="C10" i="3"/>
  <c r="C18" i="3"/>
  <c r="C26" i="3"/>
  <c r="C34" i="3"/>
  <c r="C42" i="3"/>
  <c r="C50" i="3"/>
  <c r="C58" i="3"/>
  <c r="C66" i="3"/>
  <c r="C74" i="3"/>
  <c r="C82" i="3"/>
  <c r="C90" i="3"/>
  <c r="C98" i="3"/>
  <c r="C106" i="3"/>
  <c r="C83" i="3"/>
  <c r="C107" i="3"/>
  <c r="D104" i="3"/>
  <c r="C4" i="3"/>
  <c r="C20" i="3"/>
  <c r="C36" i="3"/>
  <c r="C44" i="3"/>
  <c r="C68" i="3"/>
  <c r="C84" i="3"/>
  <c r="C92" i="3"/>
  <c r="C108" i="3"/>
  <c r="D89" i="3"/>
  <c r="C5" i="3"/>
  <c r="C21" i="3"/>
  <c r="C45" i="3"/>
  <c r="E45" i="3" s="1"/>
  <c r="C53" i="3"/>
  <c r="C69" i="3"/>
  <c r="C85" i="3"/>
  <c r="C94" i="3"/>
  <c r="C110" i="3"/>
  <c r="D35" i="3"/>
  <c r="D59" i="3"/>
  <c r="D75" i="3"/>
  <c r="D91" i="3"/>
  <c r="D107" i="3"/>
  <c r="C15" i="3"/>
  <c r="C31" i="3"/>
  <c r="C55" i="3"/>
  <c r="C79" i="3"/>
  <c r="D12" i="3"/>
  <c r="D20" i="3"/>
  <c r="D28" i="3"/>
  <c r="D44" i="3"/>
  <c r="D60" i="3"/>
  <c r="D76" i="3"/>
  <c r="D7" i="3"/>
  <c r="D15" i="3"/>
  <c r="D23" i="3"/>
  <c r="D31" i="3"/>
  <c r="D39" i="3"/>
  <c r="D47" i="3"/>
  <c r="D55" i="3"/>
  <c r="D63" i="3"/>
  <c r="D71" i="3"/>
  <c r="D79" i="3"/>
  <c r="D87" i="3"/>
  <c r="D95" i="3"/>
  <c r="D103" i="3"/>
  <c r="C3" i="3"/>
  <c r="C11" i="3"/>
  <c r="C19" i="3"/>
  <c r="C27" i="3"/>
  <c r="C35" i="3"/>
  <c r="C43" i="3"/>
  <c r="C51" i="3"/>
  <c r="C59" i="3"/>
  <c r="C67" i="3"/>
  <c r="C75" i="3"/>
  <c r="C91" i="3"/>
  <c r="C99" i="3"/>
  <c r="D96" i="3"/>
  <c r="C12" i="3"/>
  <c r="E12" i="3" s="1"/>
  <c r="C28" i="3"/>
  <c r="C52" i="3"/>
  <c r="C60" i="3"/>
  <c r="C76" i="3"/>
  <c r="C100" i="3"/>
  <c r="D81" i="3"/>
  <c r="D97" i="3"/>
  <c r="D105" i="3"/>
  <c r="C13" i="3"/>
  <c r="C29" i="3"/>
  <c r="C77" i="3"/>
  <c r="C93" i="3"/>
  <c r="C109" i="3"/>
  <c r="D3" i="3"/>
  <c r="D43" i="3"/>
  <c r="D83" i="3"/>
  <c r="C23" i="3"/>
  <c r="C47" i="3"/>
  <c r="C71" i="3"/>
  <c r="C95" i="3"/>
  <c r="C103" i="3"/>
  <c r="D36" i="3"/>
  <c r="D8" i="3"/>
  <c r="D16" i="3"/>
  <c r="D24" i="3"/>
  <c r="D32" i="3"/>
  <c r="D40" i="3"/>
  <c r="D48" i="3"/>
  <c r="D56" i="3"/>
  <c r="D64" i="3"/>
  <c r="D72" i="3"/>
  <c r="D80" i="3"/>
  <c r="D88" i="3"/>
  <c r="C37" i="3"/>
  <c r="C61" i="3"/>
  <c r="C101" i="3"/>
  <c r="E101" i="3" s="1"/>
  <c r="D9" i="3"/>
  <c r="D17" i="3"/>
  <c r="D25" i="3"/>
  <c r="D33" i="3"/>
  <c r="D41" i="3"/>
  <c r="D49" i="3"/>
  <c r="D57" i="3"/>
  <c r="D65" i="3"/>
  <c r="D73" i="3"/>
  <c r="D10" i="3"/>
  <c r="D18" i="3"/>
  <c r="D26" i="3"/>
  <c r="D34" i="3"/>
  <c r="D42" i="3"/>
  <c r="D50" i="3"/>
  <c r="D58" i="3"/>
  <c r="D66" i="3"/>
  <c r="D74" i="3"/>
  <c r="D82" i="3"/>
  <c r="D90" i="3"/>
  <c r="D98" i="3"/>
  <c r="D106" i="3"/>
  <c r="C6" i="3"/>
  <c r="C14" i="3"/>
  <c r="C22" i="3"/>
  <c r="C30" i="3"/>
  <c r="C38" i="3"/>
  <c r="C46" i="3"/>
  <c r="C54" i="3"/>
  <c r="C62" i="3"/>
  <c r="C70" i="3"/>
  <c r="C78" i="3"/>
  <c r="C86" i="3"/>
  <c r="C102" i="3"/>
  <c r="D11" i="3"/>
  <c r="D19" i="3"/>
  <c r="D27" i="3"/>
  <c r="D51" i="3"/>
  <c r="D67" i="3"/>
  <c r="D99" i="3"/>
  <c r="C7" i="3"/>
  <c r="C39" i="3"/>
  <c r="C63" i="3"/>
  <c r="C87" i="3"/>
  <c r="D4" i="3"/>
  <c r="D52" i="3"/>
  <c r="D68" i="3"/>
  <c r="D84" i="3"/>
  <c r="C49" i="3"/>
  <c r="C17" i="3"/>
  <c r="D93" i="3"/>
  <c r="D37" i="3"/>
  <c r="C104" i="3"/>
  <c r="D13" i="3"/>
  <c r="C81" i="3"/>
  <c r="C80" i="3"/>
  <c r="C48" i="3"/>
  <c r="C16" i="3"/>
  <c r="D92" i="3"/>
  <c r="D29" i="3"/>
  <c r="A90" i="3"/>
  <c r="A66" i="3"/>
  <c r="A105" i="3"/>
  <c r="A65" i="3"/>
  <c r="A41" i="3"/>
  <c r="A25" i="3"/>
  <c r="A9" i="3"/>
  <c r="A64" i="3"/>
  <c r="A24" i="3"/>
  <c r="A16" i="3"/>
  <c r="A95" i="3"/>
  <c r="A79" i="3"/>
  <c r="A63" i="3"/>
  <c r="A31" i="3"/>
  <c r="A23" i="3"/>
  <c r="A110" i="3"/>
  <c r="A102" i="3"/>
  <c r="A94" i="3"/>
  <c r="A86" i="3"/>
  <c r="A78" i="3"/>
  <c r="A70" i="3"/>
  <c r="A62" i="3"/>
  <c r="A54" i="3"/>
  <c r="A46" i="3"/>
  <c r="A38" i="3"/>
  <c r="A30" i="3"/>
  <c r="A22" i="3"/>
  <c r="A14" i="3"/>
  <c r="A6" i="3"/>
  <c r="A98" i="3"/>
  <c r="A74" i="3"/>
  <c r="A50" i="3"/>
  <c r="A34" i="3"/>
  <c r="A18" i="3"/>
  <c r="A97" i="3"/>
  <c r="A81" i="3"/>
  <c r="A57" i="3"/>
  <c r="A96" i="3"/>
  <c r="A80" i="3"/>
  <c r="A87" i="3"/>
  <c r="A71" i="3"/>
  <c r="A55" i="3"/>
  <c r="A93" i="3"/>
  <c r="A85" i="3"/>
  <c r="A77" i="3"/>
  <c r="A69" i="3"/>
  <c r="A61" i="3"/>
  <c r="A53" i="3"/>
  <c r="A45" i="3"/>
  <c r="A37" i="3"/>
  <c r="A29" i="3"/>
  <c r="A21" i="3"/>
  <c r="A5" i="3"/>
  <c r="A104" i="3"/>
  <c r="A88" i="3"/>
  <c r="A72" i="3"/>
  <c r="A32" i="3"/>
  <c r="A8" i="3"/>
  <c r="A103" i="3"/>
  <c r="A39" i="3"/>
  <c r="A15" i="3"/>
  <c r="A7" i="3"/>
  <c r="A109" i="3"/>
  <c r="A101" i="3"/>
  <c r="A108" i="3"/>
  <c r="A100" i="3"/>
  <c r="A92" i="3"/>
  <c r="A76" i="3"/>
  <c r="A68" i="3"/>
  <c r="A60" i="3"/>
  <c r="A52" i="3"/>
  <c r="A44" i="3"/>
  <c r="A36" i="3"/>
  <c r="A20" i="3"/>
  <c r="A4" i="3"/>
  <c r="A106" i="3"/>
  <c r="A82" i="3"/>
  <c r="A58" i="3"/>
  <c r="A42" i="3"/>
  <c r="A26" i="3"/>
  <c r="A10" i="3"/>
  <c r="A89" i="3"/>
  <c r="A73" i="3"/>
  <c r="A49" i="3"/>
  <c r="A33" i="3"/>
  <c r="A48" i="3"/>
  <c r="A40" i="3"/>
  <c r="A107" i="3"/>
  <c r="A99" i="3"/>
  <c r="A91" i="3"/>
  <c r="A83" i="3"/>
  <c r="A75" i="3"/>
  <c r="A67" i="3"/>
  <c r="A59" i="3"/>
  <c r="A51" i="3"/>
  <c r="A43" i="3"/>
  <c r="A35" i="3"/>
  <c r="A27" i="3"/>
  <c r="A19" i="3"/>
  <c r="A11" i="3"/>
  <c r="A3" i="3"/>
  <c r="I455" i="4" l="1"/>
  <c r="I479" i="4"/>
  <c r="I992" i="4"/>
  <c r="I896" i="4"/>
  <c r="I874" i="4"/>
  <c r="I730" i="4"/>
  <c r="I384" i="4"/>
  <c r="I171" i="4"/>
  <c r="I97" i="4"/>
  <c r="I120" i="4"/>
  <c r="I565" i="4"/>
  <c r="I591" i="4"/>
  <c r="I737" i="4"/>
  <c r="I571" i="4"/>
  <c r="I87" i="4"/>
  <c r="I389" i="4"/>
  <c r="I8" i="4"/>
  <c r="I79" i="4"/>
  <c r="I970" i="4"/>
  <c r="I288" i="4"/>
  <c r="I541" i="4"/>
  <c r="I964" i="4"/>
  <c r="I713" i="4"/>
  <c r="I172" i="4"/>
  <c r="I651" i="4"/>
  <c r="I979" i="4"/>
  <c r="I439" i="4"/>
  <c r="I809" i="4"/>
  <c r="I805" i="4"/>
  <c r="I589" i="4"/>
  <c r="I365" i="4"/>
  <c r="I525" i="4"/>
  <c r="I140" i="4"/>
  <c r="I716" i="4"/>
  <c r="I906" i="4"/>
  <c r="I130" i="4"/>
  <c r="I413" i="4"/>
  <c r="I74" i="4"/>
  <c r="I883" i="4"/>
  <c r="I551" i="4"/>
  <c r="I720" i="4"/>
  <c r="I187" i="4"/>
  <c r="I289" i="4"/>
  <c r="I469" i="4"/>
  <c r="I497" i="4"/>
  <c r="I563" i="4"/>
  <c r="I587" i="4"/>
  <c r="I650" i="4"/>
  <c r="I674" i="4"/>
  <c r="I690" i="4"/>
  <c r="I729" i="4"/>
  <c r="I885" i="4"/>
  <c r="I930" i="4"/>
  <c r="I155" i="4"/>
  <c r="I199" i="4"/>
  <c r="I227" i="4"/>
  <c r="I333" i="4"/>
  <c r="I397" i="4"/>
  <c r="I461" i="4"/>
  <c r="I600" i="4"/>
  <c r="I782" i="4"/>
  <c r="I902" i="4"/>
  <c r="I133" i="4"/>
  <c r="I253" i="4"/>
  <c r="I744" i="4"/>
  <c r="I792" i="4"/>
  <c r="I840" i="4"/>
  <c r="I928" i="4"/>
  <c r="I238" i="4"/>
  <c r="I361" i="4"/>
  <c r="I504" i="4"/>
  <c r="I714" i="4"/>
  <c r="I905" i="4"/>
  <c r="I467" i="4"/>
  <c r="I878" i="4"/>
  <c r="I182" i="4"/>
  <c r="I349" i="4"/>
  <c r="I428" i="4"/>
  <c r="I286" i="4"/>
  <c r="I367" i="4"/>
  <c r="I502" i="4"/>
  <c r="I584" i="4"/>
  <c r="I839" i="4"/>
  <c r="I888" i="4"/>
  <c r="I935" i="4"/>
  <c r="I347" i="4"/>
  <c r="I556" i="4"/>
  <c r="I659" i="4"/>
  <c r="I987" i="4"/>
  <c r="I695" i="4"/>
  <c r="I338" i="4"/>
  <c r="I45" i="4"/>
  <c r="I280" i="4"/>
  <c r="I173" i="4"/>
  <c r="I616" i="4"/>
  <c r="I654" i="4"/>
  <c r="I914" i="4"/>
  <c r="I988" i="4"/>
  <c r="I789" i="4"/>
  <c r="I941" i="4"/>
  <c r="I843" i="4"/>
  <c r="I93" i="4"/>
  <c r="I239" i="4"/>
  <c r="I858" i="4"/>
  <c r="I41" i="4"/>
  <c r="I243" i="4"/>
  <c r="I309" i="4"/>
  <c r="I735" i="4"/>
  <c r="I913" i="4"/>
  <c r="I60" i="4"/>
  <c r="I175" i="4"/>
  <c r="I391" i="4"/>
  <c r="I976" i="4"/>
  <c r="I448" i="4"/>
  <c r="I745" i="4"/>
  <c r="I937" i="4"/>
  <c r="I181" i="4"/>
  <c r="I443" i="4"/>
  <c r="I569" i="4"/>
  <c r="I796" i="4"/>
  <c r="I48" i="4"/>
  <c r="I263" i="4"/>
  <c r="I213" i="4"/>
  <c r="I449" i="4"/>
  <c r="I522" i="4"/>
  <c r="I548" i="4"/>
  <c r="I612" i="4"/>
  <c r="I794" i="4"/>
  <c r="I842" i="4"/>
  <c r="I66" i="4"/>
  <c r="I23" i="4"/>
  <c r="I251" i="4"/>
  <c r="I358" i="4"/>
  <c r="I421" i="4"/>
  <c r="I694" i="4"/>
  <c r="I719" i="4"/>
  <c r="I807" i="4"/>
  <c r="I68" i="4"/>
  <c r="I157" i="4"/>
  <c r="I423" i="4"/>
  <c r="I447" i="4"/>
  <c r="I570" i="4"/>
  <c r="I818" i="4"/>
  <c r="I864" i="4"/>
  <c r="I912" i="4"/>
  <c r="I952" i="4"/>
  <c r="I142" i="4"/>
  <c r="I320" i="4"/>
  <c r="I353" i="4"/>
  <c r="I473" i="4"/>
  <c r="I611" i="4"/>
  <c r="I875" i="4"/>
  <c r="I162" i="4"/>
  <c r="I598" i="4"/>
  <c r="I373" i="4"/>
  <c r="I468" i="4"/>
  <c r="I533" i="4"/>
  <c r="I599" i="4"/>
  <c r="I949" i="4"/>
  <c r="I67" i="4"/>
  <c r="I148" i="4"/>
  <c r="I568" i="4"/>
  <c r="I959" i="4"/>
  <c r="I200" i="4"/>
  <c r="I371" i="4"/>
  <c r="I434" i="4"/>
  <c r="I340" i="4"/>
  <c r="I359" i="4"/>
  <c r="I627" i="4"/>
  <c r="I787" i="4"/>
  <c r="I159" i="4"/>
  <c r="I538" i="4"/>
  <c r="I58" i="4"/>
  <c r="I107" i="4"/>
  <c r="I437" i="4"/>
  <c r="I463" i="4"/>
  <c r="I784" i="4"/>
  <c r="I856" i="4"/>
  <c r="I153" i="4"/>
  <c r="I198" i="4"/>
  <c r="I519" i="4"/>
  <c r="I560" i="4"/>
  <c r="I911" i="4"/>
  <c r="I363" i="4"/>
  <c r="I954" i="4"/>
  <c r="I374" i="4"/>
  <c r="I759" i="4"/>
  <c r="I109" i="4"/>
  <c r="I415" i="4"/>
  <c r="I904" i="4"/>
  <c r="I392" i="4"/>
  <c r="I961" i="4"/>
  <c r="I614" i="4"/>
  <c r="I652" i="4"/>
  <c r="I733" i="4"/>
  <c r="I972" i="4"/>
  <c r="I240" i="4"/>
  <c r="I886" i="4"/>
  <c r="I11" i="4"/>
  <c r="I54" i="4"/>
  <c r="I143" i="4"/>
  <c r="I409" i="4"/>
  <c r="I168" i="4"/>
  <c r="I346" i="4"/>
  <c r="I433" i="4"/>
  <c r="I723" i="4"/>
  <c r="I866" i="4"/>
  <c r="I915" i="4"/>
  <c r="I994" i="4"/>
  <c r="I9" i="4"/>
  <c r="I183" i="4"/>
  <c r="I345" i="4"/>
  <c r="I445" i="4"/>
  <c r="I678" i="4"/>
  <c r="I742" i="4"/>
  <c r="I926" i="4"/>
  <c r="I42" i="4"/>
  <c r="I91" i="4"/>
  <c r="I106" i="4"/>
  <c r="I303" i="4"/>
  <c r="I376" i="4"/>
  <c r="I399" i="4"/>
  <c r="I892" i="4"/>
  <c r="I222" i="4"/>
  <c r="I416" i="4"/>
  <c r="I657" i="4"/>
  <c r="I953" i="4"/>
  <c r="I299" i="4"/>
  <c r="I451" i="4"/>
  <c r="I660" i="4"/>
  <c r="I900" i="4"/>
  <c r="I57" i="4"/>
  <c r="I96" i="4"/>
  <c r="I558" i="4"/>
  <c r="I661" i="4"/>
  <c r="I823" i="4"/>
  <c r="I471" i="4"/>
  <c r="I647" i="4"/>
  <c r="I705" i="4"/>
  <c r="I916" i="4"/>
  <c r="I20" i="4"/>
  <c r="I119" i="4"/>
  <c r="I144" i="4"/>
  <c r="I507" i="4"/>
  <c r="I523" i="4"/>
  <c r="I580" i="4"/>
  <c r="I619" i="4"/>
  <c r="I643" i="4"/>
  <c r="I683" i="4"/>
  <c r="I851" i="4"/>
  <c r="I895" i="4"/>
  <c r="I231" i="4"/>
  <c r="I255" i="4"/>
  <c r="I465" i="4"/>
  <c r="I555" i="4"/>
  <c r="I579" i="4"/>
  <c r="I642" i="4"/>
  <c r="I731" i="4"/>
  <c r="I834" i="4"/>
  <c r="I922" i="4"/>
  <c r="I946" i="4"/>
  <c r="I147" i="4"/>
  <c r="I192" i="4"/>
  <c r="I219" i="4"/>
  <c r="I301" i="4"/>
  <c r="I750" i="4"/>
  <c r="I774" i="4"/>
  <c r="I920" i="4"/>
  <c r="I968" i="4"/>
  <c r="I61" i="4"/>
  <c r="I230" i="4"/>
  <c r="I344" i="4"/>
  <c r="I464" i="4"/>
  <c r="I546" i="4"/>
  <c r="I649" i="4"/>
  <c r="I128" i="4"/>
  <c r="I197" i="4"/>
  <c r="I380" i="4"/>
  <c r="I419" i="4"/>
  <c r="I628" i="4"/>
  <c r="I748" i="4"/>
  <c r="I908" i="4"/>
  <c r="I73" i="4"/>
  <c r="I4" i="4"/>
  <c r="I217" i="4"/>
  <c r="I300" i="4"/>
  <c r="I476" i="4"/>
  <c r="I542" i="4"/>
  <c r="I806" i="4"/>
  <c r="I901" i="4"/>
  <c r="I919" i="4"/>
  <c r="I957" i="4"/>
  <c r="I950" i="4"/>
  <c r="I791" i="4"/>
  <c r="I833" i="4"/>
  <c r="I273" i="4"/>
  <c r="I458" i="4"/>
  <c r="I747" i="4"/>
  <c r="I489" i="4"/>
  <c r="I605" i="4"/>
  <c r="I666" i="4"/>
  <c r="I325" i="4"/>
  <c r="I350" i="4"/>
  <c r="I453" i="4"/>
  <c r="I670" i="4"/>
  <c r="I44" i="4"/>
  <c r="I134" i="4"/>
  <c r="I594" i="4"/>
  <c r="I722" i="4"/>
  <c r="I754" i="4"/>
  <c r="I815" i="4"/>
  <c r="I697" i="4"/>
  <c r="I857" i="4"/>
  <c r="I72" i="4"/>
  <c r="I225" i="4"/>
  <c r="I348" i="4"/>
  <c r="I364" i="4"/>
  <c r="I524" i="4"/>
  <c r="I550" i="4"/>
  <c r="I772" i="4"/>
  <c r="I813" i="4"/>
  <c r="I65" i="4"/>
  <c r="I381" i="4"/>
  <c r="I500" i="4"/>
  <c r="I566" i="4"/>
  <c r="I845" i="4"/>
  <c r="I981" i="4"/>
  <c r="I212" i="4"/>
  <c r="I974" i="4"/>
  <c r="I156" i="4"/>
  <c r="I334" i="4"/>
  <c r="I398" i="4"/>
  <c r="I535" i="4"/>
  <c r="I736" i="4"/>
  <c r="I817" i="4"/>
  <c r="I927" i="4"/>
  <c r="I127" i="4"/>
  <c r="I214" i="4"/>
  <c r="I298" i="4"/>
  <c r="I531" i="4"/>
  <c r="I588" i="4"/>
  <c r="I691" i="4"/>
  <c r="I859" i="4"/>
  <c r="I899" i="4"/>
  <c r="I514" i="4"/>
  <c r="I101" i="4"/>
  <c r="I801" i="4"/>
  <c r="I483" i="4"/>
  <c r="I242" i="4"/>
  <c r="I404" i="4"/>
  <c r="I590" i="4"/>
  <c r="I749" i="4"/>
  <c r="I831" i="4"/>
  <c r="I85" i="4"/>
  <c r="I184" i="4"/>
  <c r="I601" i="4"/>
  <c r="I951" i="4"/>
  <c r="I152" i="4"/>
  <c r="I498" i="4"/>
  <c r="I425" i="4"/>
  <c r="I249" i="4"/>
  <c r="I715" i="4"/>
  <c r="I811" i="4"/>
  <c r="I477" i="4"/>
  <c r="I832" i="4"/>
  <c r="I202" i="4"/>
  <c r="I368" i="4"/>
  <c r="I176" i="4"/>
  <c r="I296" i="4"/>
  <c r="I689" i="4"/>
  <c r="I283" i="4"/>
  <c r="I665" i="4"/>
  <c r="I13" i="4"/>
  <c r="I95" i="4"/>
  <c r="I205" i="4"/>
  <c r="I274" i="4"/>
  <c r="I387" i="4"/>
  <c r="I676" i="4"/>
  <c r="I757" i="4"/>
  <c r="I836" i="4"/>
  <c r="I22" i="4"/>
  <c r="I226" i="4"/>
  <c r="I484" i="4"/>
  <c r="I615" i="4"/>
  <c r="I734" i="4"/>
  <c r="I871" i="4"/>
  <c r="I965" i="4"/>
  <c r="I208" i="4"/>
  <c r="I244" i="4"/>
  <c r="I260" i="4"/>
  <c r="I302" i="4"/>
  <c r="I382" i="4"/>
  <c r="I422" i="4"/>
  <c r="I623" i="4"/>
  <c r="I679" i="4"/>
  <c r="I855" i="4"/>
  <c r="I12" i="4"/>
  <c r="I112" i="4"/>
  <c r="I386" i="4"/>
  <c r="I482" i="4"/>
  <c r="I635" i="4"/>
  <c r="I675" i="4"/>
  <c r="I812" i="4"/>
  <c r="I923" i="4"/>
  <c r="I408" i="4"/>
  <c r="I641" i="4"/>
  <c r="I362" i="4"/>
  <c r="I385" i="4"/>
  <c r="I854" i="4"/>
  <c r="I881" i="4"/>
  <c r="I343" i="4"/>
  <c r="I593" i="4"/>
  <c r="I52" i="4"/>
  <c r="I86" i="4"/>
  <c r="I262" i="4"/>
  <c r="I496" i="4"/>
  <c r="I562" i="4"/>
  <c r="I769" i="4"/>
  <c r="I929" i="4"/>
  <c r="I985" i="4"/>
  <c r="I56" i="4"/>
  <c r="I82" i="4"/>
  <c r="I121" i="4"/>
  <c r="I233" i="4"/>
  <c r="I315" i="4"/>
  <c r="I636" i="4"/>
  <c r="I700" i="4"/>
  <c r="I780" i="4"/>
  <c r="I822" i="4"/>
  <c r="I860" i="4"/>
  <c r="I956" i="4"/>
  <c r="I996" i="4"/>
  <c r="I14" i="4"/>
  <c r="I75" i="4"/>
  <c r="I114" i="4"/>
  <c r="I266" i="4"/>
  <c r="I388" i="4"/>
  <c r="I509" i="4"/>
  <c r="I574" i="4"/>
  <c r="I637" i="4"/>
  <c r="I773" i="4"/>
  <c r="I853" i="4"/>
  <c r="I925" i="4"/>
  <c r="I989" i="4"/>
  <c r="I38" i="4"/>
  <c r="I108" i="4"/>
  <c r="I165" i="4"/>
  <c r="I342" i="4"/>
  <c r="I406" i="4"/>
  <c r="I446" i="4"/>
  <c r="I544" i="4"/>
  <c r="I753" i="4"/>
  <c r="I882" i="4"/>
  <c r="I975" i="4"/>
  <c r="I999" i="4"/>
  <c r="I55" i="4"/>
  <c r="I136" i="4"/>
  <c r="I180" i="4"/>
  <c r="I410" i="4"/>
  <c r="I699" i="4"/>
  <c r="I867" i="4"/>
  <c r="I947" i="4"/>
  <c r="I135" i="4"/>
  <c r="I537" i="4"/>
  <c r="I932" i="4"/>
  <c r="I297" i="4"/>
  <c r="I770" i="4"/>
  <c r="I501" i="4"/>
  <c r="I543" i="4"/>
  <c r="I646" i="4"/>
  <c r="I229" i="4"/>
  <c r="I278" i="4"/>
  <c r="I520" i="4"/>
  <c r="I545" i="4"/>
  <c r="I618" i="4"/>
  <c r="I640" i="4"/>
  <c r="I752" i="4"/>
  <c r="I776" i="4"/>
  <c r="I633" i="4"/>
  <c r="I257" i="4"/>
  <c r="I372" i="4"/>
  <c r="I411" i="4"/>
  <c r="I491" i="4"/>
  <c r="I940" i="4"/>
  <c r="I250" i="4"/>
  <c r="I292" i="4"/>
  <c r="I412" i="4"/>
  <c r="I452" i="4"/>
  <c r="I758" i="4"/>
  <c r="I797" i="4"/>
  <c r="I870" i="4"/>
  <c r="I942" i="4"/>
  <c r="I24" i="4"/>
  <c r="I190" i="4"/>
  <c r="I609" i="4"/>
  <c r="I663" i="4"/>
  <c r="I703" i="4"/>
  <c r="I743" i="4"/>
  <c r="I783" i="4"/>
  <c r="I264" i="4"/>
  <c r="I450" i="4"/>
  <c r="I539" i="4"/>
  <c r="I739" i="4"/>
  <c r="I795" i="4"/>
  <c r="I907" i="4"/>
  <c r="I971" i="4"/>
  <c r="I254" i="4"/>
  <c r="I626" i="4"/>
  <c r="I76" i="4"/>
  <c r="I236" i="4"/>
  <c r="I567" i="4"/>
  <c r="I608" i="4"/>
  <c r="I664" i="4"/>
  <c r="I578" i="4"/>
  <c r="I897" i="4"/>
  <c r="I841" i="4"/>
  <c r="I131" i="4"/>
  <c r="I37" i="4"/>
  <c r="I104" i="4"/>
  <c r="I145" i="4"/>
  <c r="I241" i="4"/>
  <c r="I339" i="4"/>
  <c r="I435" i="4"/>
  <c r="I516" i="4"/>
  <c r="I607" i="4"/>
  <c r="I725" i="4"/>
  <c r="I924" i="4"/>
  <c r="I163" i="4"/>
  <c r="I235" i="4"/>
  <c r="I621" i="4"/>
  <c r="I879" i="4"/>
  <c r="I966" i="4"/>
  <c r="I540" i="4"/>
  <c r="I5" i="4"/>
  <c r="I268" i="4"/>
  <c r="I430" i="4"/>
  <c r="I631" i="4"/>
  <c r="I808" i="4"/>
  <c r="I863" i="4"/>
  <c r="I81" i="4"/>
  <c r="I161" i="4"/>
  <c r="I290" i="4"/>
  <c r="I394" i="4"/>
  <c r="I724" i="4"/>
  <c r="I821" i="4"/>
  <c r="I835" i="4"/>
  <c r="I931" i="4"/>
  <c r="I98" i="4"/>
  <c r="I177" i="4"/>
  <c r="I53" i="4"/>
  <c r="I170" i="4"/>
  <c r="I506" i="4"/>
  <c r="I126" i="4"/>
  <c r="I179" i="4"/>
  <c r="I39" i="4"/>
  <c r="E17" i="3"/>
  <c r="F3" i="7"/>
  <c r="E3" i="7"/>
  <c r="E10" i="7"/>
  <c r="F12" i="7"/>
  <c r="E28" i="7"/>
  <c r="F20" i="7"/>
  <c r="F6" i="7"/>
  <c r="F23" i="7"/>
  <c r="F42" i="7"/>
  <c r="E26" i="7"/>
  <c r="E31" i="7"/>
  <c r="F28" i="7"/>
  <c r="F14" i="7"/>
  <c r="F31" i="7"/>
  <c r="F17" i="7"/>
  <c r="F18" i="7"/>
  <c r="E23" i="7"/>
  <c r="E15" i="7"/>
  <c r="E34" i="7"/>
  <c r="E8" i="7"/>
  <c r="E11" i="7"/>
  <c r="F36" i="7"/>
  <c r="F22" i="7"/>
  <c r="F39" i="7"/>
  <c r="F25" i="7"/>
  <c r="F11" i="7"/>
  <c r="F40" i="7"/>
  <c r="E18" i="7"/>
  <c r="E16" i="7"/>
  <c r="E19" i="7"/>
  <c r="F30" i="7"/>
  <c r="F8" i="7"/>
  <c r="F19" i="7"/>
  <c r="E20" i="7"/>
  <c r="E30" i="7"/>
  <c r="E41" i="7"/>
  <c r="F37" i="7"/>
  <c r="F34" i="7"/>
  <c r="E38" i="7"/>
  <c r="E27" i="7"/>
  <c r="F9" i="7"/>
  <c r="E36" i="7"/>
  <c r="E39" i="7"/>
  <c r="E42" i="7"/>
  <c r="E24" i="7"/>
  <c r="F5" i="7"/>
  <c r="F33" i="7"/>
  <c r="E5" i="7"/>
  <c r="E32" i="7"/>
  <c r="E6" i="7"/>
  <c r="E40" i="7"/>
  <c r="E35" i="7"/>
  <c r="F13" i="7"/>
  <c r="F38" i="7"/>
  <c r="F16" i="7"/>
  <c r="F41" i="7"/>
  <c r="F27" i="7"/>
  <c r="E29" i="7"/>
  <c r="F15" i="7"/>
  <c r="E37" i="7"/>
  <c r="E14" i="7"/>
  <c r="F21" i="7"/>
  <c r="E7" i="7"/>
  <c r="F24" i="7"/>
  <c r="F10" i="7"/>
  <c r="F35" i="7"/>
  <c r="E13" i="7"/>
  <c r="E17" i="7"/>
  <c r="E9" i="7"/>
  <c r="E4" i="7"/>
  <c r="E12" i="7"/>
  <c r="E21" i="7"/>
  <c r="E33" i="7"/>
  <c r="E22" i="7"/>
  <c r="E25" i="7"/>
  <c r="F4" i="7"/>
  <c r="F29" i="7"/>
  <c r="F7" i="7"/>
  <c r="F26" i="7"/>
  <c r="E21" i="3"/>
  <c r="E87" i="3"/>
  <c r="A11" i="5"/>
  <c r="A21" i="5"/>
  <c r="A38" i="5"/>
  <c r="A8" i="5"/>
  <c r="A17" i="5"/>
  <c r="C15" i="5"/>
  <c r="C37" i="5"/>
  <c r="C12" i="5"/>
  <c r="C32" i="5"/>
  <c r="C27" i="5"/>
  <c r="A6" i="5"/>
  <c r="C14" i="5"/>
  <c r="C18" i="5"/>
  <c r="A31" i="5"/>
  <c r="A2" i="5"/>
  <c r="G476" i="2" s="1"/>
  <c r="A19" i="5"/>
  <c r="A29" i="5"/>
  <c r="A16" i="5"/>
  <c r="A25" i="5"/>
  <c r="A28" i="5"/>
  <c r="C29" i="5"/>
  <c r="C41" i="5"/>
  <c r="C4" i="5"/>
  <c r="C16" i="5"/>
  <c r="C19" i="5"/>
  <c r="C22" i="5"/>
  <c r="C11" i="5"/>
  <c r="A26" i="5"/>
  <c r="A23" i="5"/>
  <c r="A40" i="5"/>
  <c r="C25" i="5"/>
  <c r="A22" i="5"/>
  <c r="A39" i="5"/>
  <c r="C28" i="5"/>
  <c r="A13" i="5"/>
  <c r="C26" i="5"/>
  <c r="A10" i="5"/>
  <c r="A27" i="5"/>
  <c r="A7" i="5"/>
  <c r="A24" i="5"/>
  <c r="A33" i="5"/>
  <c r="A20" i="5"/>
  <c r="A4" i="5"/>
  <c r="C38" i="5"/>
  <c r="C21" i="5"/>
  <c r="C33" i="5"/>
  <c r="C5" i="5"/>
  <c r="I686" i="2" s="1"/>
  <c r="A14" i="5"/>
  <c r="C24" i="5"/>
  <c r="C6" i="5"/>
  <c r="C40" i="5"/>
  <c r="C36" i="5"/>
  <c r="A5" i="5"/>
  <c r="C34" i="5"/>
  <c r="C8" i="5"/>
  <c r="C9" i="5"/>
  <c r="A3" i="5"/>
  <c r="A30" i="5"/>
  <c r="A9" i="5"/>
  <c r="A36" i="5"/>
  <c r="C39" i="5"/>
  <c r="C31" i="5"/>
  <c r="C20" i="5"/>
  <c r="C35" i="5"/>
  <c r="A18" i="5"/>
  <c r="A15" i="5"/>
  <c r="A32" i="5"/>
  <c r="A41" i="5"/>
  <c r="A12" i="5"/>
  <c r="C10" i="5"/>
  <c r="C30" i="5"/>
  <c r="C13" i="5"/>
  <c r="C17" i="5"/>
  <c r="C23" i="5"/>
  <c r="C3" i="5"/>
  <c r="A37" i="5"/>
  <c r="A35" i="5"/>
  <c r="A34" i="5"/>
  <c r="E35" i="3"/>
  <c r="E102" i="3"/>
  <c r="E63" i="3"/>
  <c r="E38" i="3"/>
  <c r="E9" i="3"/>
  <c r="E32" i="3"/>
  <c r="E20" i="3"/>
  <c r="E39" i="3"/>
  <c r="E30" i="3"/>
  <c r="E99" i="3"/>
  <c r="E27" i="3"/>
  <c r="E55" i="3"/>
  <c r="E110" i="3"/>
  <c r="E86" i="3"/>
  <c r="E22" i="3"/>
  <c r="E46" i="3"/>
  <c r="E43" i="3"/>
  <c r="E36" i="3"/>
  <c r="E64" i="3"/>
  <c r="E4" i="3"/>
  <c r="E49" i="3"/>
  <c r="E61" i="3"/>
  <c r="E108" i="3"/>
  <c r="E78" i="3"/>
  <c r="E14" i="3"/>
  <c r="E103" i="3"/>
  <c r="E31" i="3"/>
  <c r="E77" i="3"/>
  <c r="E95" i="3"/>
  <c r="E76" i="3"/>
  <c r="E75" i="3"/>
  <c r="E85" i="3"/>
  <c r="C216" i="2"/>
  <c r="E53" i="3"/>
  <c r="E104" i="3"/>
  <c r="C173" i="2"/>
  <c r="C463" i="2"/>
  <c r="E91" i="3"/>
  <c r="E94" i="3"/>
  <c r="E60" i="3"/>
  <c r="E69" i="3"/>
  <c r="E28" i="3"/>
  <c r="E16" i="3"/>
  <c r="E74" i="3"/>
  <c r="E10" i="3"/>
  <c r="E105" i="3"/>
  <c r="E33" i="3"/>
  <c r="E96" i="3"/>
  <c r="C477" i="2"/>
  <c r="E48" i="3"/>
  <c r="E7" i="3"/>
  <c r="E109" i="3"/>
  <c r="E100" i="3"/>
  <c r="E19" i="3"/>
  <c r="E66" i="3"/>
  <c r="E24" i="3"/>
  <c r="E65" i="3"/>
  <c r="E97" i="3"/>
  <c r="C596" i="2"/>
  <c r="C186" i="2"/>
  <c r="E80" i="3"/>
  <c r="E93" i="3"/>
  <c r="E11" i="3"/>
  <c r="E15" i="3"/>
  <c r="E92" i="3"/>
  <c r="E107" i="3"/>
  <c r="E58" i="3"/>
  <c r="E56" i="3"/>
  <c r="E8" i="3"/>
  <c r="E5" i="3"/>
  <c r="E18" i="3"/>
  <c r="A2" i="3"/>
  <c r="F2" i="3" s="1"/>
  <c r="D2" i="3"/>
  <c r="C2" i="3"/>
  <c r="C99" i="2"/>
  <c r="C634" i="2"/>
  <c r="C980" i="2"/>
  <c r="C722" i="2"/>
  <c r="C841" i="2"/>
  <c r="E81" i="3"/>
  <c r="E70" i="3"/>
  <c r="E6" i="3"/>
  <c r="E71" i="3"/>
  <c r="E67" i="3"/>
  <c r="E3" i="3"/>
  <c r="E84" i="3"/>
  <c r="E83" i="3"/>
  <c r="E50" i="3"/>
  <c r="E88" i="3"/>
  <c r="E25" i="3"/>
  <c r="E73" i="3"/>
  <c r="E72" i="3"/>
  <c r="E26" i="3"/>
  <c r="C259" i="2"/>
  <c r="E62" i="3"/>
  <c r="E37" i="3"/>
  <c r="E47" i="3"/>
  <c r="E29" i="3"/>
  <c r="E52" i="3"/>
  <c r="E59" i="3"/>
  <c r="E68" i="3"/>
  <c r="E106" i="3"/>
  <c r="E42" i="3"/>
  <c r="E57" i="3"/>
  <c r="E90" i="3"/>
  <c r="E79" i="3"/>
  <c r="E82" i="3"/>
  <c r="C367" i="2"/>
  <c r="C775" i="2"/>
  <c r="E54" i="3"/>
  <c r="E23" i="3"/>
  <c r="E13" i="3"/>
  <c r="E51" i="3"/>
  <c r="E44" i="3"/>
  <c r="E98" i="3"/>
  <c r="E34" i="3"/>
  <c r="E40" i="3"/>
  <c r="E89" i="3"/>
  <c r="E41" i="3"/>
  <c r="C828" i="2"/>
  <c r="C829" i="2"/>
  <c r="C563" i="2"/>
  <c r="C562" i="2"/>
  <c r="C540" i="2"/>
  <c r="C541" i="2"/>
  <c r="C552" i="4" l="1"/>
  <c r="C999" i="4"/>
  <c r="C487" i="4"/>
  <c r="C755" i="4"/>
  <c r="C845" i="4"/>
  <c r="C907" i="4"/>
  <c r="C569" i="4"/>
  <c r="C970" i="4"/>
  <c r="C815" i="4"/>
  <c r="C439" i="4"/>
  <c r="C805" i="4"/>
  <c r="C90" i="4"/>
  <c r="C597" i="4"/>
  <c r="C432" i="4"/>
  <c r="C685" i="4"/>
  <c r="C943" i="4"/>
  <c r="G270" i="2"/>
  <c r="G334" i="2"/>
  <c r="G686" i="2"/>
  <c r="I189" i="2"/>
  <c r="I180" i="2"/>
  <c r="C2" i="5"/>
  <c r="I912" i="2"/>
  <c r="I461" i="2"/>
  <c r="I488" i="2"/>
  <c r="I795" i="2"/>
  <c r="I994" i="2"/>
  <c r="I132" i="2"/>
  <c r="I742" i="2"/>
  <c r="I179" i="2"/>
  <c r="I575" i="2"/>
  <c r="I146" i="2"/>
  <c r="I289" i="2"/>
  <c r="E2" i="3"/>
  <c r="A47" i="3"/>
  <c r="C6" i="2" s="1"/>
  <c r="C7" i="2"/>
  <c r="A12" i="3"/>
  <c r="C755" i="2" s="1"/>
  <c r="C901" i="2"/>
  <c r="C8" i="4" l="1"/>
  <c r="C616" i="4"/>
  <c r="C7" i="4"/>
  <c r="C6" i="4"/>
  <c r="C5" i="4"/>
  <c r="F3" i="3"/>
  <c r="F4" i="3"/>
  <c r="F6" i="3"/>
  <c r="F5" i="3"/>
  <c r="A56" i="3" l="1"/>
  <c r="C65" i="2"/>
  <c r="A28" i="3"/>
  <c r="C74" i="4" l="1"/>
  <c r="C277" i="4"/>
  <c r="C480" i="2"/>
  <c r="C889" i="2"/>
  <c r="C890" i="2"/>
  <c r="C891" i="2"/>
  <c r="C892" i="2"/>
  <c r="C917" i="2"/>
  <c r="A17" i="3"/>
  <c r="C918" i="2"/>
  <c r="C23" i="2"/>
  <c r="A84" i="3"/>
  <c r="C734" i="2"/>
  <c r="A13" i="3"/>
  <c r="C105" i="2" s="1"/>
  <c r="C120" i="4" l="1"/>
  <c r="C948" i="4"/>
  <c r="C913" i="4"/>
  <c r="C223" i="4"/>
  <c r="F60" i="3"/>
  <c r="F69" i="3"/>
  <c r="F27" i="3"/>
  <c r="F36" i="3"/>
  <c r="F63" i="3"/>
  <c r="F82" i="3"/>
  <c r="F94" i="3"/>
  <c r="F20" i="3"/>
  <c r="F104" i="3"/>
  <c r="F52" i="3"/>
  <c r="F22" i="3"/>
  <c r="F53" i="3"/>
  <c r="F34" i="3"/>
  <c r="F91" i="3"/>
  <c r="F84" i="3"/>
  <c r="F76" i="3"/>
  <c r="F49" i="3"/>
  <c r="F59" i="3"/>
  <c r="F95" i="3"/>
  <c r="F47" i="3"/>
  <c r="F14" i="3"/>
  <c r="F78" i="3"/>
  <c r="F64" i="3"/>
  <c r="F88" i="3"/>
  <c r="F17" i="3"/>
  <c r="F73" i="3"/>
  <c r="F40" i="3"/>
  <c r="F26" i="3"/>
  <c r="F65" i="3"/>
  <c r="F89" i="3"/>
  <c r="F105" i="3"/>
  <c r="F41" i="3"/>
  <c r="F75" i="3"/>
  <c r="F74" i="3"/>
  <c r="F93" i="3"/>
  <c r="F39" i="3"/>
  <c r="F107" i="3"/>
  <c r="F71" i="3"/>
  <c r="F38" i="3"/>
  <c r="F70" i="3"/>
  <c r="F31" i="3"/>
  <c r="F86" i="3"/>
  <c r="F77" i="3"/>
  <c r="F62" i="3"/>
  <c r="F44" i="3"/>
  <c r="F24" i="3"/>
  <c r="F8" i="3"/>
  <c r="F9" i="3"/>
  <c r="F7" i="3"/>
  <c r="F12" i="3"/>
  <c r="F23" i="3"/>
  <c r="F19" i="3"/>
  <c r="F108" i="3"/>
  <c r="F15" i="3"/>
  <c r="F79" i="3"/>
  <c r="F13" i="3"/>
  <c r="F45" i="3"/>
  <c r="F58" i="3"/>
  <c r="F98" i="3"/>
  <c r="F48" i="3"/>
  <c r="F54" i="3"/>
  <c r="F80" i="3"/>
  <c r="F102" i="3"/>
  <c r="F35" i="3"/>
  <c r="F92" i="3"/>
  <c r="F96" i="3"/>
  <c r="F81" i="3"/>
  <c r="F56" i="3"/>
  <c r="F33" i="3"/>
  <c r="F37" i="3"/>
  <c r="F110" i="3"/>
  <c r="F61" i="3"/>
  <c r="F32" i="3"/>
  <c r="F67" i="3"/>
  <c r="F50" i="3"/>
  <c r="F42" i="3"/>
  <c r="F99" i="3"/>
  <c r="F85" i="3"/>
  <c r="F72" i="3"/>
  <c r="F43" i="3"/>
  <c r="F83" i="3"/>
  <c r="F109" i="3"/>
  <c r="F97" i="3"/>
  <c r="F46" i="3"/>
  <c r="F30" i="3"/>
  <c r="F10" i="3"/>
  <c r="F21" i="3"/>
  <c r="F51" i="3"/>
  <c r="F87" i="3"/>
  <c r="F101" i="3"/>
  <c r="F103" i="3"/>
  <c r="F55" i="3"/>
  <c r="F66" i="3"/>
  <c r="F18" i="3"/>
  <c r="F90" i="3"/>
  <c r="F29" i="3"/>
  <c r="F57" i="3"/>
  <c r="F100" i="3"/>
  <c r="F106" i="3"/>
  <c r="F68" i="3"/>
  <c r="F28" i="3"/>
  <c r="F16" i="3"/>
  <c r="F25" i="3"/>
  <c r="F11" i="3"/>
  <c r="C7" i="5" l="1"/>
  <c r="I547" i="2" s="1"/>
  <c r="F3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439DB1-2243-4E53-A70C-64D77674654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48A52D0-B0A0-407B-82DA-6D38023A1EF4}" name="WorksheetConnection_Novacar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Novacar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<sst xmlns="http://schemas.openxmlformats.org/spreadsheetml/2006/main" count="5050" uniqueCount="226">
  <si>
    <t>order_id</t>
  </si>
  <si>
    <t>customer_id</t>
  </si>
  <si>
    <t>customer</t>
  </si>
  <si>
    <t>segment</t>
  </si>
  <si>
    <t>channel</t>
  </si>
  <si>
    <t>product_id</t>
  </si>
  <si>
    <t>product</t>
  </si>
  <si>
    <t>category</t>
  </si>
  <si>
    <t>quantity</t>
  </si>
  <si>
    <t>unit_price</t>
  </si>
  <si>
    <t>discount_pct</t>
  </si>
  <si>
    <t>line_total</t>
  </si>
  <si>
    <t>returned</t>
  </si>
  <si>
    <t>Morgan Ibarra</t>
  </si>
  <si>
    <t>Loyal</t>
  </si>
  <si>
    <t>Referral</t>
  </si>
  <si>
    <t>Towel Set</t>
  </si>
  <si>
    <t>Home</t>
  </si>
  <si>
    <t>Rowan Sullivan</t>
  </si>
  <si>
    <t>Direct</t>
  </si>
  <si>
    <t>Crew Tee</t>
  </si>
  <si>
    <t>Apparel</t>
  </si>
  <si>
    <t>Avery Tan</t>
  </si>
  <si>
    <t>LED Lamp</t>
  </si>
  <si>
    <t>Drew Marsh</t>
  </si>
  <si>
    <t>Champion</t>
  </si>
  <si>
    <t>Plush Bear</t>
  </si>
  <si>
    <t>Toys</t>
  </si>
  <si>
    <t>Wren Petrov</t>
  </si>
  <si>
    <t>Regular</t>
  </si>
  <si>
    <t>Resistance Bands</t>
  </si>
  <si>
    <t>Sports</t>
  </si>
  <si>
    <t>USB-C Cable</t>
  </si>
  <si>
    <t>Electronics</t>
  </si>
  <si>
    <t>Leo Patel</t>
  </si>
  <si>
    <t>Organic</t>
  </si>
  <si>
    <t>RC Car</t>
  </si>
  <si>
    <t>Beauty</t>
  </si>
  <si>
    <t>Socks 3-Pack</t>
  </si>
  <si>
    <t>Owen Kowalski</t>
  </si>
  <si>
    <t>New</t>
  </si>
  <si>
    <t>Paid Search</t>
  </si>
  <si>
    <t>Jump Rope</t>
  </si>
  <si>
    <t>Sasha Marsh</t>
  </si>
  <si>
    <t>Lip Balm</t>
  </si>
  <si>
    <t>Webcam</t>
  </si>
  <si>
    <t>Rain Shell</t>
  </si>
  <si>
    <t>Morgan Mendez</t>
  </si>
  <si>
    <t>Smart Plug</t>
  </si>
  <si>
    <t>Owen Ahmed</t>
  </si>
  <si>
    <t>Avery Ahmed</t>
  </si>
  <si>
    <t>SPF 50 Lotion</t>
  </si>
  <si>
    <t>Iris Reyes</t>
  </si>
  <si>
    <t>Art Kit</t>
  </si>
  <si>
    <t>Wren Park</t>
  </si>
  <si>
    <t>Email</t>
  </si>
  <si>
    <t>Owen Petrov</t>
  </si>
  <si>
    <t>Water Bottle</t>
  </si>
  <si>
    <t>Sasha Petrov</t>
  </si>
  <si>
    <t>Denim Jacket</t>
  </si>
  <si>
    <t>Ceramic Mug</t>
  </si>
  <si>
    <t>Sasha Sullivan</t>
  </si>
  <si>
    <t>Puzzle 500pc</t>
  </si>
  <si>
    <t>Owen Nguyen</t>
  </si>
  <si>
    <t>Cutting Board</t>
  </si>
  <si>
    <t>Phone Case</t>
  </si>
  <si>
    <t>Taylor Fischer</t>
  </si>
  <si>
    <t>Ivy Ibarra</t>
  </si>
  <si>
    <t>At-Risk</t>
  </si>
  <si>
    <t>Wireless Earbuds</t>
  </si>
  <si>
    <t>Board Game</t>
  </si>
  <si>
    <t>Taylor Walsh</t>
  </si>
  <si>
    <t>Taylor Ibarra</t>
  </si>
  <si>
    <t>Ezra Diaz</t>
  </si>
  <si>
    <t>Social</t>
  </si>
  <si>
    <t>Scented Candle</t>
  </si>
  <si>
    <t>Sasha Osei</t>
  </si>
  <si>
    <t>Throw Pillow</t>
  </si>
  <si>
    <t>Sasha Yamada</t>
  </si>
  <si>
    <t>Jordan Cohen</t>
  </si>
  <si>
    <t>Hoodie</t>
  </si>
  <si>
    <t>Devon Yamada</t>
  </si>
  <si>
    <t>Lila Osei</t>
  </si>
  <si>
    <t>Shampoo Bar</t>
  </si>
  <si>
    <t>Chino Pants</t>
  </si>
  <si>
    <t>Kai Romano</t>
  </si>
  <si>
    <t>Riley Diaz</t>
  </si>
  <si>
    <t>Rowan Romano</t>
  </si>
  <si>
    <t>Jordan Brooks</t>
  </si>
  <si>
    <t>Hand Cream</t>
  </si>
  <si>
    <t>Leo Romano</t>
  </si>
  <si>
    <t>Harper Petrov</t>
  </si>
  <si>
    <t>Joggers</t>
  </si>
  <si>
    <t>Quinn Petrov</t>
  </si>
  <si>
    <t>Maya Reid</t>
  </si>
  <si>
    <t>Sasha Nguyen</t>
  </si>
  <si>
    <t>Yoga Mat</t>
  </si>
  <si>
    <t>Storage Bin</t>
  </si>
  <si>
    <t>Vitamin C Serum</t>
  </si>
  <si>
    <t>Beanie</t>
  </si>
  <si>
    <t>Owen Ibarra</t>
  </si>
  <si>
    <t>Maya Patel</t>
  </si>
  <si>
    <t>Maya Hassan</t>
  </si>
  <si>
    <t>Foam Roller</t>
  </si>
  <si>
    <t>Building Blocks</t>
  </si>
  <si>
    <t>Power Bank</t>
  </si>
  <si>
    <t>Owen Patel</t>
  </si>
  <si>
    <t>Ezra Sullivan</t>
  </si>
  <si>
    <t>Quinn Reid</t>
  </si>
  <si>
    <t>Casey Fischer</t>
  </si>
  <si>
    <t>Iris Okafor</t>
  </si>
  <si>
    <t>Wren Costa</t>
  </si>
  <si>
    <t>Jordan Petrov</t>
  </si>
  <si>
    <t>Riley Park</t>
  </si>
  <si>
    <t>Riley Kowalski</t>
  </si>
  <si>
    <t>Drew Costa</t>
  </si>
  <si>
    <t>Leo Tan</t>
  </si>
  <si>
    <t>Tessa Reyes</t>
  </si>
  <si>
    <t>Nora Yamada</t>
  </si>
  <si>
    <t>Kai Yamada</t>
  </si>
  <si>
    <t>Ivy Kowalski</t>
  </si>
  <si>
    <t>Jordan Ahmed</t>
  </si>
  <si>
    <t xml:space="preserve">  Loyal </t>
  </si>
  <si>
    <t>Noel Larsen</t>
  </si>
  <si>
    <t>Owen Brooks</t>
  </si>
  <si>
    <t>Drew Reid</t>
  </si>
  <si>
    <t>Ivy Ahmed</t>
  </si>
  <si>
    <t>Taylor Hassan</t>
  </si>
  <si>
    <t>Iris Romano</t>
  </si>
  <si>
    <t xml:space="preserve">  Beauty </t>
  </si>
  <si>
    <t>Running Belt</t>
  </si>
  <si>
    <t>Ezra Petrov</t>
  </si>
  <si>
    <t>Harper Tan</t>
  </si>
  <si>
    <t>Taylor Flynn</t>
  </si>
  <si>
    <t>Cole Hassan</t>
  </si>
  <si>
    <t>Avery Romano</t>
  </si>
  <si>
    <t>Avery Costa</t>
  </si>
  <si>
    <t>Drew Fischer</t>
  </si>
  <si>
    <t>Maya Diaz</t>
  </si>
  <si>
    <t xml:space="preserve">  Home </t>
  </si>
  <si>
    <t>Riley Marsh</t>
  </si>
  <si>
    <t>Tessa Osei</t>
  </si>
  <si>
    <t>Wren Tan</t>
  </si>
  <si>
    <t>Quinn Yamada</t>
  </si>
  <si>
    <t>Ivy Flynn</t>
  </si>
  <si>
    <t>Nora Sullivan</t>
  </si>
  <si>
    <t xml:space="preserve">  Regular </t>
  </si>
  <si>
    <t>Lila Patel</t>
  </si>
  <si>
    <t>Lila Reyes</t>
  </si>
  <si>
    <t>Jordan Novak</t>
  </si>
  <si>
    <t>Jordan Costa</t>
  </si>
  <si>
    <t>Owen Tan</t>
  </si>
  <si>
    <t>Tessa Okafor</t>
  </si>
  <si>
    <t>Tessa Mendez</t>
  </si>
  <si>
    <t>Sprots</t>
  </si>
  <si>
    <t>Mateo Khan</t>
  </si>
  <si>
    <t>Noel Ibarra</t>
  </si>
  <si>
    <t>Casey Reyes</t>
  </si>
  <si>
    <t>Lila Walsh</t>
  </si>
  <si>
    <t>Drew Larsen</t>
  </si>
  <si>
    <t xml:space="preserve">  Toys </t>
  </si>
  <si>
    <t>Taylor Costa</t>
  </si>
  <si>
    <t>Jordan Okafor</t>
  </si>
  <si>
    <t xml:space="preserve">  Electronics </t>
  </si>
  <si>
    <t>Harper Diaz</t>
  </si>
  <si>
    <t>Kai Park</t>
  </si>
  <si>
    <t>Ivy Carter</t>
  </si>
  <si>
    <t>Kai Larsen</t>
  </si>
  <si>
    <t>Taylor Okafor</t>
  </si>
  <si>
    <t>Nora Reyes</t>
  </si>
  <si>
    <t xml:space="preserve">  Sports </t>
  </si>
  <si>
    <t>Quinn Walsh</t>
  </si>
  <si>
    <t>Priya Yamada</t>
  </si>
  <si>
    <t>Noel Petrov</t>
  </si>
  <si>
    <t>Maya Reyes</t>
  </si>
  <si>
    <t>Tessa Yamada</t>
  </si>
  <si>
    <t>Sasha Okafor</t>
  </si>
  <si>
    <t>Casey Novak</t>
  </si>
  <si>
    <t>Jamie Hassan</t>
  </si>
  <si>
    <t>Noel Osei</t>
  </si>
  <si>
    <t>Noel Reyes</t>
  </si>
  <si>
    <t xml:space="preserve">  New </t>
  </si>
  <si>
    <t>Noel Costa</t>
  </si>
  <si>
    <t>Kai Reyes</t>
  </si>
  <si>
    <t>Iris Cohen</t>
  </si>
  <si>
    <t>Ivy Sullivan</t>
  </si>
  <si>
    <t xml:space="preserve">  Champion </t>
  </si>
  <si>
    <t>Customer Full Name</t>
  </si>
  <si>
    <t>Customer ID</t>
  </si>
  <si>
    <t>First Name</t>
  </si>
  <si>
    <t>Last Name</t>
  </si>
  <si>
    <t>Email Address</t>
  </si>
  <si>
    <t>Segment</t>
  </si>
  <si>
    <t>champion</t>
  </si>
  <si>
    <t>new</t>
  </si>
  <si>
    <t xml:space="preserve"> At-Risk </t>
  </si>
  <si>
    <t>Product Name</t>
  </si>
  <si>
    <t>Category</t>
  </si>
  <si>
    <t>Order ID</t>
  </si>
  <si>
    <t>Product ID</t>
  </si>
  <si>
    <t>Channel</t>
  </si>
  <si>
    <t>Quantity</t>
  </si>
  <si>
    <t>Unit Price</t>
  </si>
  <si>
    <t>Discount %</t>
  </si>
  <si>
    <t>Line Total</t>
  </si>
  <si>
    <t>Returned</t>
  </si>
  <si>
    <t>Order Date</t>
  </si>
  <si>
    <t>order date</t>
  </si>
  <si>
    <t>beauty</t>
  </si>
  <si>
    <t>home</t>
  </si>
  <si>
    <t>MODE OF ORDER ID</t>
  </si>
  <si>
    <t>MODE OF QUANTITY</t>
  </si>
  <si>
    <t>AVERAGE OF UNIT PRICE</t>
  </si>
  <si>
    <t>AVERAGE OF DISCOUNT PRICE</t>
  </si>
  <si>
    <t xml:space="preserve">Sheet Mask </t>
  </si>
  <si>
    <t xml:space="preserve">Bluetooth Speaker </t>
  </si>
  <si>
    <t>UNIQUE VALUES OF PRODUCTS</t>
  </si>
  <si>
    <t>PRODUCT</t>
  </si>
  <si>
    <t>COUNT</t>
  </si>
  <si>
    <t>CATEGORY</t>
  </si>
  <si>
    <t>Grand Total</t>
  </si>
  <si>
    <t>Row Labels</t>
  </si>
  <si>
    <t>Max of COUNT</t>
  </si>
  <si>
    <t>(blank)</t>
  </si>
  <si>
    <t>UNIQUE VALUES OF CHANNEL</t>
  </si>
  <si>
    <t>RETURNED COLUMN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</si>
</sst>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_-[$$-409]* #,##0.00_ ;_-[$$-409]* \-#,##0.00\ ;_-[$$-409]* &quot;-&quot;??_ ;_-@_ 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 Unicode MS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theme="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6" fillId="33" borderId="0" xfId="0" applyFont="1" applyFill="1" applyAlignment="1">
      <alignment horizontal="center"/>
    </xf>
    <xf numFmtId="2" fontId="16" fillId="33" borderId="0" xfId="0" applyNumberFormat="1" applyFont="1" applyFill="1" applyAlignment="1">
      <alignment horizontal="center"/>
    </xf>
    <xf numFmtId="164" fontId="16" fillId="33" borderId="0" xfId="0" applyNumberFormat="1" applyFont="1" applyFill="1" applyAlignment="1">
      <alignment horizontal="center"/>
    </xf>
    <xf numFmtId="0" fontId="16" fillId="3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33" borderId="0" xfId="0" applyFill="1" applyAlignment="1">
      <alignment horizontal="left" indent="1"/>
    </xf>
    <xf numFmtId="0" fontId="0" fillId="33" borderId="0" xfId="0" applyFill="1"/>
    <xf numFmtId="0" fontId="18" fillId="33" borderId="0" xfId="0" applyFont="1" applyFill="1" applyAlignment="1">
      <alignment horizontal="left" indent="1"/>
    </xf>
    <xf numFmtId="0" fontId="18" fillId="33" borderId="0" xfId="0" applyFont="1" applyFill="1"/>
    <xf numFmtId="0" fontId="19" fillId="0" borderId="0" xfId="0" applyFont="1" applyAlignment="1">
      <alignment horizontal="center" vertical="center"/>
    </xf>
    <xf numFmtId="0" fontId="0" fillId="33" borderId="0" xfId="0" applyFill="1" applyAlignment="1">
      <alignment horizontal="left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3" fillId="34" borderId="10" xfId="0" applyFont="1" applyFill="1" applyBorder="1" applyAlignment="1">
      <alignment horizontal="center"/>
    </xf>
    <xf numFmtId="0" fontId="13" fillId="34" borderId="0" xfId="0" applyFont="1" applyFill="1" applyAlignment="1">
      <alignment horizontal="center"/>
    </xf>
    <xf numFmtId="0" fontId="13" fillId="35" borderId="0" xfId="0" applyFont="1" applyFill="1" applyAlignment="1">
      <alignment horizontal="center"/>
    </xf>
    <xf numFmtId="0" fontId="13" fillId="36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1" defaultTableStyle="TableStyleMedium2" defaultPivotStyle="PivotStyleLight16">
    <tableStyle name="Invisible" pivot="0" table="0" count="0" xr9:uid="{9EE8F1B4-0E38-44AD-92A2-B3ED0E25EF9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styles" Target="styles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ean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eaned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opika Govindan" refreshedDate="46303.121290509262" createdVersion="8" refreshedVersion="8" minRefreshableVersion="3" recordCount="41" xr:uid="{5D32A1D9-EF78-4815-8052-10506CF22875}">
  <cacheSource type="worksheet">
    <worksheetSource ref="D2:F43" sheet="CALC"/>
  </cacheSource>
  <cacheFields count="3">
    <cacheField name="PRODUCT" numFmtId="0">
      <sharedItems containsBlank="1" containsMixedTypes="1" containsNumber="1" containsInteger="1" minValue="0" maxValue="0" count="42">
        <s v="Resistance Bands"/>
        <s v="Ceramic Mug"/>
        <s v="Art Kit"/>
        <s v="Phone Case"/>
        <s v="Towel Set"/>
        <s v="Chino Pants"/>
        <s v="Beanie"/>
        <s v="LED Lamp"/>
        <s v="Lip Balm"/>
        <s v="Puzzle 500pc"/>
        <s v="Socks 3-Pack"/>
        <s v="Throw Pillow"/>
        <s v="Scented Candle"/>
        <s v="RC Car"/>
        <s v="Shampoo Bar"/>
        <s v="Smart Plug"/>
        <s v="Yoga Mat"/>
        <s v="Storage Bin"/>
        <s v="Rain Shell"/>
        <s v="Sheet Mask "/>
        <s v="Vitamin C Serum"/>
        <s v="Webcam"/>
        <s v="Jump Rope"/>
        <s v="Bluetooth Speaker "/>
        <s v="SPF 50 Lotion"/>
        <s v="USB-C Cable"/>
        <s v="Plush Bear"/>
        <s v="Hand Cream"/>
        <s v="Wireless Earbuds"/>
        <s v="Board Game"/>
        <s v="Joggers"/>
        <s v="Hoodie"/>
        <s v="Crew Tee"/>
        <s v="Denim Jacket"/>
        <s v="Water Bottle"/>
        <s v="Foam Roller"/>
        <s v="Running Belt"/>
        <s v="Cutting Board"/>
        <s v="Building Blocks"/>
        <s v="Power Bank"/>
        <m/>
        <n v="0" u="1"/>
      </sharedItems>
    </cacheField>
    <cacheField name="COUNT" numFmtId="0">
      <sharedItems containsString="0" containsBlank="1" containsNumber="1" containsInteger="1" minValue="16" maxValue="39"/>
    </cacheField>
    <cacheField name="CATEGORY" numFmtId="0">
      <sharedItems containsBlank="1" count="10">
        <s v="Sports"/>
        <s v="Home"/>
        <s v="Toys"/>
        <s v="Electronics"/>
        <s v="Apparel"/>
        <s v="Beauty"/>
        <m/>
        <e v="#N/A" u="1"/>
        <s v="Apparel " u="1"/>
        <s v="  Apparel 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n v="29"/>
    <x v="0"/>
  </r>
  <r>
    <x v="1"/>
    <n v="23"/>
    <x v="1"/>
  </r>
  <r>
    <x v="2"/>
    <n v="32"/>
    <x v="2"/>
  </r>
  <r>
    <x v="3"/>
    <n v="24"/>
    <x v="3"/>
  </r>
  <r>
    <x v="4"/>
    <n v="29"/>
    <x v="1"/>
  </r>
  <r>
    <x v="5"/>
    <n v="27"/>
    <x v="4"/>
  </r>
  <r>
    <x v="6"/>
    <n v="20"/>
    <x v="4"/>
  </r>
  <r>
    <x v="7"/>
    <n v="33"/>
    <x v="1"/>
  </r>
  <r>
    <x v="8"/>
    <n v="26"/>
    <x v="5"/>
  </r>
  <r>
    <x v="9"/>
    <n v="32"/>
    <x v="2"/>
  </r>
  <r>
    <x v="10"/>
    <n v="24"/>
    <x v="4"/>
  </r>
  <r>
    <x v="11"/>
    <n v="17"/>
    <x v="1"/>
  </r>
  <r>
    <x v="12"/>
    <n v="19"/>
    <x v="1"/>
  </r>
  <r>
    <x v="13"/>
    <n v="36"/>
    <x v="2"/>
  </r>
  <r>
    <x v="14"/>
    <n v="22"/>
    <x v="5"/>
  </r>
  <r>
    <x v="15"/>
    <n v="25"/>
    <x v="3"/>
  </r>
  <r>
    <x v="16"/>
    <n v="18"/>
    <x v="0"/>
  </r>
  <r>
    <x v="17"/>
    <n v="24"/>
    <x v="1"/>
  </r>
  <r>
    <x v="18"/>
    <n v="21"/>
    <x v="4"/>
  </r>
  <r>
    <x v="19"/>
    <n v="21"/>
    <x v="5"/>
  </r>
  <r>
    <x v="20"/>
    <n v="37"/>
    <x v="5"/>
  </r>
  <r>
    <x v="21"/>
    <n v="25"/>
    <x v="3"/>
  </r>
  <r>
    <x v="22"/>
    <n v="22"/>
    <x v="0"/>
  </r>
  <r>
    <x v="23"/>
    <n v="25"/>
    <x v="3"/>
  </r>
  <r>
    <x v="24"/>
    <n v="27"/>
    <x v="5"/>
  </r>
  <r>
    <x v="25"/>
    <n v="16"/>
    <x v="3"/>
  </r>
  <r>
    <x v="26"/>
    <n v="23"/>
    <x v="2"/>
  </r>
  <r>
    <x v="27"/>
    <n v="21"/>
    <x v="5"/>
  </r>
  <r>
    <x v="28"/>
    <n v="27"/>
    <x v="3"/>
  </r>
  <r>
    <x v="29"/>
    <n v="29"/>
    <x v="2"/>
  </r>
  <r>
    <x v="30"/>
    <n v="37"/>
    <x v="4"/>
  </r>
  <r>
    <x v="31"/>
    <n v="22"/>
    <x v="4"/>
  </r>
  <r>
    <x v="32"/>
    <n v="18"/>
    <x v="4"/>
  </r>
  <r>
    <x v="33"/>
    <n v="21"/>
    <x v="4"/>
  </r>
  <r>
    <x v="34"/>
    <n v="39"/>
    <x v="0"/>
  </r>
  <r>
    <x v="35"/>
    <n v="22"/>
    <x v="0"/>
  </r>
  <r>
    <x v="36"/>
    <n v="25"/>
    <x v="0"/>
  </r>
  <r>
    <x v="37"/>
    <n v="23"/>
    <x v="1"/>
  </r>
  <r>
    <x v="38"/>
    <n v="21"/>
    <x v="2"/>
  </r>
  <r>
    <x v="39"/>
    <n v="17"/>
    <x v="3"/>
  </r>
  <r>
    <x v="40"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C17C4-A0E8-4448-8A4D-A0D2D725F7C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:I51" firstHeaderRow="1" firstDataRow="1" firstDataCol="1"/>
  <pivotFields count="3">
    <pivotField axis="axisRow" showAll="0">
      <items count="43">
        <item m="1" x="41"/>
        <item x="2"/>
        <item x="6"/>
        <item x="23"/>
        <item x="29"/>
        <item x="38"/>
        <item x="1"/>
        <item x="5"/>
        <item x="32"/>
        <item x="37"/>
        <item x="33"/>
        <item x="35"/>
        <item x="27"/>
        <item x="31"/>
        <item x="30"/>
        <item x="22"/>
        <item x="7"/>
        <item x="8"/>
        <item x="3"/>
        <item x="26"/>
        <item x="39"/>
        <item x="9"/>
        <item x="18"/>
        <item x="13"/>
        <item x="0"/>
        <item x="36"/>
        <item x="12"/>
        <item x="14"/>
        <item x="19"/>
        <item x="15"/>
        <item x="10"/>
        <item x="24"/>
        <item x="17"/>
        <item x="11"/>
        <item x="4"/>
        <item x="25"/>
        <item x="20"/>
        <item x="34"/>
        <item x="21"/>
        <item x="28"/>
        <item x="16"/>
        <item x="40"/>
        <item t="default"/>
      </items>
    </pivotField>
    <pivotField dataField="1" showAll="0"/>
    <pivotField axis="axisRow" showAll="0">
      <items count="11">
        <item m="1" x="9"/>
        <item x="4"/>
        <item x="5"/>
        <item x="3"/>
        <item x="1"/>
        <item x="0"/>
        <item x="2"/>
        <item m="1" x="7"/>
        <item m="1" x="8"/>
        <item x="6"/>
        <item t="default"/>
      </items>
    </pivotField>
  </pivotFields>
  <rowFields count="2">
    <field x="2"/>
    <field x="0"/>
  </rowFields>
  <rowItems count="49">
    <i>
      <x v="1"/>
    </i>
    <i r="1">
      <x v="2"/>
    </i>
    <i r="1">
      <x v="7"/>
    </i>
    <i r="1">
      <x v="8"/>
    </i>
    <i r="1">
      <x v="10"/>
    </i>
    <i r="1">
      <x v="13"/>
    </i>
    <i r="1">
      <x v="14"/>
    </i>
    <i r="1">
      <x v="22"/>
    </i>
    <i r="1">
      <x v="30"/>
    </i>
    <i>
      <x v="2"/>
    </i>
    <i r="1">
      <x v="12"/>
    </i>
    <i r="1">
      <x v="17"/>
    </i>
    <i r="1">
      <x v="27"/>
    </i>
    <i r="1">
      <x v="28"/>
    </i>
    <i r="1">
      <x v="31"/>
    </i>
    <i r="1">
      <x v="36"/>
    </i>
    <i>
      <x v="3"/>
    </i>
    <i r="1">
      <x v="3"/>
    </i>
    <i r="1">
      <x v="18"/>
    </i>
    <i r="1">
      <x v="20"/>
    </i>
    <i r="1">
      <x v="29"/>
    </i>
    <i r="1">
      <x v="35"/>
    </i>
    <i r="1">
      <x v="38"/>
    </i>
    <i r="1">
      <x v="39"/>
    </i>
    <i>
      <x v="4"/>
    </i>
    <i r="1">
      <x v="6"/>
    </i>
    <i r="1">
      <x v="9"/>
    </i>
    <i r="1">
      <x v="16"/>
    </i>
    <i r="1">
      <x v="26"/>
    </i>
    <i r="1">
      <x v="32"/>
    </i>
    <i r="1">
      <x v="33"/>
    </i>
    <i r="1">
      <x v="34"/>
    </i>
    <i>
      <x v="5"/>
    </i>
    <i r="1">
      <x v="11"/>
    </i>
    <i r="1">
      <x v="15"/>
    </i>
    <i r="1">
      <x v="24"/>
    </i>
    <i r="1">
      <x v="25"/>
    </i>
    <i r="1">
      <x v="37"/>
    </i>
    <i r="1">
      <x v="40"/>
    </i>
    <i>
      <x v="6"/>
    </i>
    <i r="1">
      <x v="1"/>
    </i>
    <i r="1">
      <x v="4"/>
    </i>
    <i r="1">
      <x v="5"/>
    </i>
    <i r="1">
      <x v="19"/>
    </i>
    <i r="1">
      <x v="21"/>
    </i>
    <i r="1">
      <x v="23"/>
    </i>
    <i>
      <x v="9"/>
    </i>
    <i r="1">
      <x v="41"/>
    </i>
    <i t="grand">
      <x/>
    </i>
  </rowItems>
  <colItems count="1">
    <i/>
  </colItems>
  <dataFields count="1">
    <dataField name="Max of COUNT" fld="1" subtotal="max" baseField="0" baseItem="0"/>
  </dataFields>
  <formats count="22">
    <format dxfId="21">
      <pivotArea collapsedLevelsAreSubtotals="1" fieldPosition="0">
        <references count="2">
          <reference field="0" count="1">
            <x v="39"/>
          </reference>
          <reference field="2" count="1" selected="0">
            <x v="3"/>
          </reference>
        </references>
      </pivotArea>
    </format>
    <format dxfId="20">
      <pivotArea dataOnly="0" labelOnly="1" fieldPosition="0">
        <references count="2">
          <reference field="0" count="1">
            <x v="39"/>
          </reference>
          <reference field="2" count="1" selected="0">
            <x v="3"/>
          </reference>
        </references>
      </pivotArea>
    </format>
    <format dxfId="19">
      <pivotArea collapsedLevelsAreSubtotals="1" fieldPosition="0">
        <references count="2">
          <reference field="0" count="1">
            <x v="16"/>
          </reference>
          <reference field="2" count="1" selected="0">
            <x v="4"/>
          </reference>
        </references>
      </pivotArea>
    </format>
    <format dxfId="18">
      <pivotArea dataOnly="0" labelOnly="1" fieldPosition="0">
        <references count="2">
          <reference field="0" count="1">
            <x v="16"/>
          </reference>
          <reference field="2" count="1" selected="0">
            <x v="4"/>
          </reference>
        </references>
      </pivotArea>
    </format>
    <format dxfId="17">
      <pivotArea collapsedLevelsAreSubtotals="1" fieldPosition="0">
        <references count="2">
          <reference field="0" count="1">
            <x v="24"/>
          </reference>
          <reference field="2" count="1" selected="0">
            <x v="5"/>
          </reference>
        </references>
      </pivotArea>
    </format>
    <format dxfId="16">
      <pivotArea dataOnly="0" labelOnly="1" fieldPosition="0">
        <references count="2">
          <reference field="0" count="1">
            <x v="24"/>
          </reference>
          <reference field="2" count="1" selected="0">
            <x v="5"/>
          </reference>
        </references>
      </pivotArea>
    </format>
    <format dxfId="15">
      <pivotArea collapsedLevelsAreSubtotals="1" fieldPosition="0">
        <references count="2">
          <reference field="0" count="1">
            <x v="37"/>
          </reference>
          <reference field="2" count="1" selected="0">
            <x v="5"/>
          </reference>
        </references>
      </pivotArea>
    </format>
    <format dxfId="14">
      <pivotArea dataOnly="0" labelOnly="1" fieldPosition="0">
        <references count="2">
          <reference field="0" count="1">
            <x v="37"/>
          </reference>
          <reference field="2" count="1" selected="0">
            <x v="5"/>
          </reference>
        </references>
      </pivotArea>
    </format>
    <format dxfId="13">
      <pivotArea collapsedLevelsAreSubtotals="1" fieldPosition="0">
        <references count="2">
          <reference field="0" count="1">
            <x v="37"/>
          </reference>
          <reference field="2" count="1" selected="0">
            <x v="5"/>
          </reference>
        </references>
      </pivotArea>
    </format>
    <format dxfId="12">
      <pivotArea dataOnly="0" labelOnly="1" fieldPosition="0">
        <references count="2">
          <reference field="0" count="1">
            <x v="37"/>
          </reference>
          <reference field="2" count="1" selected="0">
            <x v="5"/>
          </reference>
        </references>
      </pivotArea>
    </format>
    <format dxfId="11">
      <pivotArea collapsedLevelsAreSubtotals="1" fieldPosition="0">
        <references count="2">
          <reference field="0" count="1">
            <x v="37"/>
          </reference>
          <reference field="2" count="1" selected="0">
            <x v="5"/>
          </reference>
        </references>
      </pivotArea>
    </format>
    <format dxfId="10">
      <pivotArea dataOnly="0" labelOnly="1" fieldPosition="0">
        <references count="2">
          <reference field="0" count="1">
            <x v="37"/>
          </reference>
          <reference field="2" count="1" selected="0">
            <x v="5"/>
          </reference>
        </references>
      </pivotArea>
    </format>
    <format dxfId="9">
      <pivotArea collapsedLevelsAreSubtotals="1" fieldPosition="0">
        <references count="2">
          <reference field="0" count="1">
            <x v="23"/>
          </reference>
          <reference field="2" count="1" selected="0">
            <x v="6"/>
          </reference>
        </references>
      </pivotArea>
    </format>
    <format dxfId="8">
      <pivotArea dataOnly="0" labelOnly="1" fieldPosition="0">
        <references count="2">
          <reference field="0" count="1">
            <x v="23"/>
          </reference>
          <reference field="2" count="1" selected="0">
            <x v="6"/>
          </reference>
        </references>
      </pivotArea>
    </format>
    <format dxfId="7">
      <pivotArea collapsedLevelsAreSubtotals="1" fieldPosition="0">
        <references count="2">
          <reference field="0" count="1">
            <x v="7"/>
          </reference>
          <reference field="2" count="1" selected="0">
            <x v="1"/>
          </reference>
        </references>
      </pivotArea>
    </format>
    <format dxfId="6">
      <pivotArea dataOnly="0" labelOnly="1" fieldPosition="0">
        <references count="2">
          <reference field="0" count="1">
            <x v="7"/>
          </reference>
          <reference field="2" count="1" selected="0">
            <x v="1"/>
          </reference>
        </references>
      </pivotArea>
    </format>
    <format dxfId="5">
      <pivotArea collapsedLevelsAreSubtotals="1" fieldPosition="0">
        <references count="2">
          <reference field="0" count="1">
            <x v="14"/>
          </reference>
          <reference field="2" count="1" selected="0">
            <x v="1"/>
          </reference>
        </references>
      </pivotArea>
    </format>
    <format dxfId="4">
      <pivotArea dataOnly="0" labelOnly="1" fieldPosition="0">
        <references count="2">
          <reference field="0" count="1">
            <x v="14"/>
          </reference>
          <reference field="2" count="1" selected="0">
            <x v="1"/>
          </reference>
        </references>
      </pivotArea>
    </format>
    <format dxfId="3">
      <pivotArea collapsedLevelsAreSubtotals="1" fieldPosition="0">
        <references count="2">
          <reference field="0" count="1">
            <x v="36"/>
          </reference>
          <reference field="2" count="1" selected="0">
            <x v="2"/>
          </reference>
        </references>
      </pivotArea>
    </format>
    <format dxfId="2">
      <pivotArea dataOnly="0" labelOnly="1" fieldPosition="0">
        <references count="2">
          <reference field="0" count="1">
            <x v="36"/>
          </reference>
          <reference field="2" count="1" selected="0">
            <x v="2"/>
          </reference>
        </references>
      </pivotArea>
    </format>
    <format dxfId="1">
      <pivotArea collapsedLevelsAreSubtotals="1" fieldPosition="0">
        <references count="2">
          <reference field="0" count="1">
            <x v="17"/>
          </reference>
          <reference field="2" count="1" selected="0">
            <x v="2"/>
          </reference>
        </references>
      </pivotArea>
    </format>
    <format dxfId="0">
      <pivotArea dataOnly="0" labelOnly="1" fieldPosition="0">
        <references count="2">
          <reference field="0" count="1">
            <x v="17"/>
          </reference>
          <reference field="2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7E12-E6DB-438F-ADD5-38362A501C81}">
  <dimension ref="A1:N1000"/>
  <sheetViews>
    <sheetView tabSelected="1" workbookViewId="0">
      <selection activeCell="D23" sqref="D23"/>
    </sheetView>
  </sheetViews>
  <sheetFormatPr defaultRowHeight="14.4"/>
  <cols>
    <col min="1" max="1" width="12.33203125" style="1" customWidth="1"/>
    <col min="2" max="2" width="10.109375" style="1" customWidth="1"/>
    <col min="3" max="3" width="13.77734375" style="1" customWidth="1"/>
    <col min="4" max="4" width="15.77734375" style="1" bestFit="1" customWidth="1"/>
    <col min="5" max="5" width="11.109375" style="1" bestFit="1" customWidth="1"/>
    <col min="6" max="6" width="12.33203125" style="1" bestFit="1" customWidth="1"/>
    <col min="7" max="7" width="12.21875" style="1" customWidth="1"/>
    <col min="8" max="8" width="17.88671875" style="1" bestFit="1" customWidth="1"/>
    <col min="9" max="9" width="11.6640625" style="1" bestFit="1" customWidth="1"/>
    <col min="10" max="10" width="10.109375" style="1" customWidth="1"/>
    <col min="11" max="11" width="11.6640625" style="1" customWidth="1"/>
    <col min="12" max="12" width="14.21875" style="1" customWidth="1"/>
    <col min="13" max="13" width="11.109375" style="1" customWidth="1"/>
    <col min="14" max="14" width="10.5546875" style="1" customWidth="1"/>
    <col min="15" max="16" width="8.88671875" style="1"/>
    <col min="17" max="17" width="24.88671875" style="1" customWidth="1"/>
    <col min="18" max="16384" width="8.88671875" style="1"/>
  </cols>
  <sheetData>
    <row r="1" spans="1:14">
      <c r="A1" s="1" t="s">
        <v>207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2">
        <v>45945</v>
      </c>
      <c r="B2" s="1">
        <v>1010</v>
      </c>
      <c r="C2" s="1">
        <v>1</v>
      </c>
      <c r="D2" s="1" t="s">
        <v>47</v>
      </c>
      <c r="E2" s="1" t="s">
        <v>29</v>
      </c>
      <c r="F2" s="1" t="s">
        <v>19</v>
      </c>
      <c r="G2" s="1">
        <v>31</v>
      </c>
      <c r="H2" s="1" t="s">
        <v>30</v>
      </c>
      <c r="I2" s="1" t="s">
        <v>31</v>
      </c>
      <c r="J2" s="1">
        <v>1</v>
      </c>
      <c r="K2" s="1">
        <v>57.51</v>
      </c>
      <c r="L2" s="1">
        <v>0</v>
      </c>
      <c r="M2" s="16">
        <f>J2*K2*(1-L2/100)</f>
        <v>57.51</v>
      </c>
      <c r="N2" s="1">
        <v>0</v>
      </c>
    </row>
    <row r="3" spans="1:14">
      <c r="A3" s="2">
        <v>46267</v>
      </c>
      <c r="B3" s="1">
        <v>1467</v>
      </c>
      <c r="C3" s="1">
        <v>1</v>
      </c>
      <c r="D3" s="1" t="s">
        <v>47</v>
      </c>
      <c r="E3" s="1" t="s">
        <v>29</v>
      </c>
      <c r="F3" s="1" t="s">
        <v>19</v>
      </c>
      <c r="G3" s="1">
        <v>17</v>
      </c>
      <c r="H3" s="1" t="s">
        <v>60</v>
      </c>
      <c r="I3" s="1" t="s">
        <v>17</v>
      </c>
      <c r="J3" s="1">
        <v>1</v>
      </c>
      <c r="K3" s="1">
        <v>6.61</v>
      </c>
      <c r="L3" s="1">
        <v>0</v>
      </c>
      <c r="M3" s="16">
        <f t="shared" ref="M3:M66" si="0">J3*K3*(1-L3/100)</f>
        <v>6.61</v>
      </c>
      <c r="N3" s="1">
        <v>1</v>
      </c>
    </row>
    <row r="4" spans="1:14">
      <c r="A4" s="2">
        <v>46267</v>
      </c>
      <c r="B4" s="1">
        <v>1467</v>
      </c>
      <c r="C4" s="1">
        <v>1</v>
      </c>
      <c r="D4" s="1" t="s">
        <v>47</v>
      </c>
      <c r="E4" s="1" t="s">
        <v>29</v>
      </c>
      <c r="F4" s="1" t="s">
        <v>19</v>
      </c>
      <c r="G4" s="1">
        <v>40</v>
      </c>
      <c r="H4" s="1" t="s">
        <v>53</v>
      </c>
      <c r="I4" s="1" t="s">
        <v>27</v>
      </c>
      <c r="J4" s="1">
        <v>3</v>
      </c>
      <c r="K4" s="1">
        <v>47.25</v>
      </c>
      <c r="L4" s="1">
        <v>0</v>
      </c>
      <c r="M4" s="16">
        <f t="shared" si="0"/>
        <v>141.75</v>
      </c>
      <c r="N4" s="1">
        <v>0</v>
      </c>
    </row>
    <row r="5" spans="1:14">
      <c r="A5" s="2">
        <v>46023</v>
      </c>
      <c r="B5" s="1">
        <v>1363</v>
      </c>
      <c r="C5" s="1">
        <v>2</v>
      </c>
      <c r="D5" s="1" t="s">
        <v>22</v>
      </c>
      <c r="E5" s="1" t="s">
        <v>40</v>
      </c>
      <c r="F5" s="1" t="s">
        <v>35</v>
      </c>
      <c r="G5" s="1">
        <v>11</v>
      </c>
      <c r="H5" s="1" t="s">
        <v>65</v>
      </c>
      <c r="I5" s="1" t="s">
        <v>33</v>
      </c>
      <c r="J5" s="1">
        <v>1</v>
      </c>
      <c r="K5" s="1">
        <v>58.35</v>
      </c>
      <c r="L5" s="1">
        <v>0</v>
      </c>
      <c r="M5" s="16">
        <f t="shared" si="0"/>
        <v>58.35</v>
      </c>
      <c r="N5" s="1">
        <v>0</v>
      </c>
    </row>
    <row r="6" spans="1:14">
      <c r="A6" s="2">
        <v>46016</v>
      </c>
      <c r="B6" s="1">
        <v>1082</v>
      </c>
      <c r="C6" s="1">
        <f>_xlfn.XLOOKUP(D6,'Customer Data'!B:B,'Customer Data'!A:A,"Not Found")</f>
        <v>2</v>
      </c>
      <c r="D6" s="1" t="s">
        <v>22</v>
      </c>
      <c r="E6" s="1" t="s">
        <v>14</v>
      </c>
      <c r="F6" s="1" t="s">
        <v>19</v>
      </c>
      <c r="G6" s="1">
        <v>17</v>
      </c>
      <c r="H6" s="1" t="s">
        <v>60</v>
      </c>
      <c r="I6" s="1" t="s">
        <v>17</v>
      </c>
      <c r="J6" s="1">
        <v>1</v>
      </c>
      <c r="K6" s="1">
        <v>6.61</v>
      </c>
      <c r="L6" s="1">
        <v>10</v>
      </c>
      <c r="M6" s="16">
        <f t="shared" si="0"/>
        <v>5.9490000000000007</v>
      </c>
      <c r="N6" s="1">
        <v>0</v>
      </c>
    </row>
    <row r="7" spans="1:14">
      <c r="A7" s="2">
        <v>46017</v>
      </c>
      <c r="B7" s="1">
        <v>1329</v>
      </c>
      <c r="C7" s="1">
        <f>_xlfn.XLOOKUP(D7,'Customer Data'!B:B,'Customer Data'!A:A,"Not Found")</f>
        <v>2</v>
      </c>
      <c r="D7" s="1" t="s">
        <v>22</v>
      </c>
      <c r="E7" s="1" t="s">
        <v>40</v>
      </c>
      <c r="F7" s="1" t="s">
        <v>35</v>
      </c>
      <c r="G7" s="1">
        <v>20</v>
      </c>
      <c r="H7" s="1" t="s">
        <v>16</v>
      </c>
      <c r="I7" s="1" t="s">
        <v>17</v>
      </c>
      <c r="J7" s="1">
        <v>2</v>
      </c>
      <c r="K7" s="1">
        <v>32.76</v>
      </c>
      <c r="L7" s="1">
        <v>0</v>
      </c>
      <c r="M7" s="16">
        <f t="shared" si="0"/>
        <v>65.52</v>
      </c>
      <c r="N7" s="1">
        <v>0</v>
      </c>
    </row>
    <row r="8" spans="1:14">
      <c r="A8" s="2">
        <v>45973</v>
      </c>
      <c r="B8" s="1">
        <v>1254</v>
      </c>
      <c r="C8" s="1">
        <v>3</v>
      </c>
      <c r="D8" s="1" t="s">
        <v>162</v>
      </c>
      <c r="E8" s="1" t="s">
        <v>40</v>
      </c>
      <c r="F8" s="1" t="s">
        <v>55</v>
      </c>
      <c r="G8" s="1">
        <v>37</v>
      </c>
      <c r="H8" s="1" t="s">
        <v>53</v>
      </c>
      <c r="I8" s="1" t="s">
        <v>27</v>
      </c>
      <c r="J8" s="1">
        <v>1</v>
      </c>
      <c r="K8" s="1">
        <v>52.67</v>
      </c>
      <c r="L8" s="1">
        <v>0</v>
      </c>
      <c r="M8" s="16">
        <f t="shared" si="0"/>
        <v>52.67</v>
      </c>
      <c r="N8" s="1">
        <v>0</v>
      </c>
    </row>
    <row r="9" spans="1:14">
      <c r="A9" s="2">
        <v>46005</v>
      </c>
      <c r="B9" s="1">
        <v>1274</v>
      </c>
      <c r="C9" s="1">
        <v>3</v>
      </c>
      <c r="D9" s="1" t="s">
        <v>162</v>
      </c>
      <c r="E9" s="1" t="s">
        <v>40</v>
      </c>
      <c r="F9" s="1" t="s">
        <v>55</v>
      </c>
      <c r="G9" s="1">
        <v>20</v>
      </c>
      <c r="H9" s="1" t="s">
        <v>16</v>
      </c>
      <c r="I9" s="1" t="s">
        <v>17</v>
      </c>
      <c r="J9" s="1">
        <v>1</v>
      </c>
      <c r="K9" s="1">
        <v>32.76</v>
      </c>
      <c r="L9" s="1">
        <v>0</v>
      </c>
      <c r="M9" s="16">
        <f t="shared" si="0"/>
        <v>32.76</v>
      </c>
      <c r="N9" s="1">
        <v>0</v>
      </c>
    </row>
    <row r="10" spans="1:14">
      <c r="A10" s="2">
        <v>46005</v>
      </c>
      <c r="B10" s="1">
        <v>1274</v>
      </c>
      <c r="C10" s="1">
        <v>3</v>
      </c>
      <c r="D10" s="1" t="s">
        <v>162</v>
      </c>
      <c r="E10" s="1" t="s">
        <v>40</v>
      </c>
      <c r="F10" s="1" t="s">
        <v>55</v>
      </c>
      <c r="G10" s="1">
        <v>8</v>
      </c>
      <c r="H10" s="1" t="s">
        <v>84</v>
      </c>
      <c r="I10" s="1" t="s">
        <v>21</v>
      </c>
      <c r="J10" s="1">
        <v>1</v>
      </c>
      <c r="K10" s="1">
        <v>16.72</v>
      </c>
      <c r="L10" s="1">
        <v>0</v>
      </c>
      <c r="M10" s="16">
        <f t="shared" si="0"/>
        <v>16.72</v>
      </c>
      <c r="N10" s="1">
        <v>0</v>
      </c>
    </row>
    <row r="11" spans="1:14">
      <c r="A11" s="2">
        <v>46005</v>
      </c>
      <c r="B11" s="1">
        <v>1274</v>
      </c>
      <c r="C11" s="1">
        <v>3</v>
      </c>
      <c r="D11" s="1" t="s">
        <v>162</v>
      </c>
      <c r="E11" s="1" t="s">
        <v>40</v>
      </c>
      <c r="F11" s="1" t="s">
        <v>55</v>
      </c>
      <c r="G11" s="1">
        <v>6</v>
      </c>
      <c r="H11" s="1" t="s">
        <v>99</v>
      </c>
      <c r="I11" s="1" t="s">
        <v>21</v>
      </c>
      <c r="J11" s="1">
        <v>1</v>
      </c>
      <c r="K11" s="1">
        <v>70.47</v>
      </c>
      <c r="L11" s="1">
        <v>0</v>
      </c>
      <c r="M11" s="16">
        <f t="shared" si="0"/>
        <v>70.47</v>
      </c>
      <c r="N11" s="1">
        <v>0</v>
      </c>
    </row>
    <row r="12" spans="1:14">
      <c r="A12" s="2">
        <v>46040</v>
      </c>
      <c r="B12" s="1">
        <v>1410</v>
      </c>
      <c r="C12" s="1">
        <v>3</v>
      </c>
      <c r="D12" s="1" t="s">
        <v>162</v>
      </c>
      <c r="E12" s="1" t="s">
        <v>40</v>
      </c>
      <c r="F12" s="1" t="s">
        <v>55</v>
      </c>
      <c r="G12" s="1">
        <v>8</v>
      </c>
      <c r="H12" s="1" t="s">
        <v>84</v>
      </c>
      <c r="I12" s="1" t="s">
        <v>21</v>
      </c>
      <c r="J12" s="1">
        <v>2</v>
      </c>
      <c r="K12" s="1">
        <v>16.72</v>
      </c>
      <c r="L12" s="1">
        <v>10</v>
      </c>
      <c r="M12" s="16">
        <f t="shared" si="0"/>
        <v>30.096</v>
      </c>
      <c r="N12" s="1">
        <v>0</v>
      </c>
    </row>
    <row r="13" spans="1:14">
      <c r="A13" s="2">
        <v>46082</v>
      </c>
      <c r="B13" s="1">
        <v>1547</v>
      </c>
      <c r="C13" s="1">
        <v>3</v>
      </c>
      <c r="D13" s="1" t="s">
        <v>162</v>
      </c>
      <c r="E13" s="1" t="s">
        <v>40</v>
      </c>
      <c r="F13" s="1" t="s">
        <v>55</v>
      </c>
      <c r="G13" s="1">
        <v>18</v>
      </c>
      <c r="H13" s="1" t="s">
        <v>23</v>
      </c>
      <c r="I13" s="1" t="s">
        <v>17</v>
      </c>
      <c r="J13" s="1">
        <v>1</v>
      </c>
      <c r="K13" s="1">
        <v>44.01</v>
      </c>
      <c r="L13" s="1">
        <v>0</v>
      </c>
      <c r="M13" s="16">
        <f t="shared" si="0"/>
        <v>44.01</v>
      </c>
      <c r="N13" s="1">
        <v>0</v>
      </c>
    </row>
    <row r="14" spans="1:14">
      <c r="A14" s="2">
        <v>45983</v>
      </c>
      <c r="B14" s="1">
        <v>1163</v>
      </c>
      <c r="C14" s="1">
        <v>4</v>
      </c>
      <c r="D14" s="1" t="s">
        <v>141</v>
      </c>
      <c r="E14" s="1" t="s">
        <v>29</v>
      </c>
      <c r="F14" s="1" t="s">
        <v>41</v>
      </c>
      <c r="G14" s="1">
        <v>24</v>
      </c>
      <c r="H14" s="1" t="s">
        <v>44</v>
      </c>
      <c r="I14" s="1" t="s">
        <v>37</v>
      </c>
      <c r="J14" s="1">
        <v>2</v>
      </c>
      <c r="K14" s="1">
        <v>43.42</v>
      </c>
      <c r="L14" s="1">
        <v>0</v>
      </c>
      <c r="M14" s="16">
        <f t="shared" si="0"/>
        <v>86.84</v>
      </c>
      <c r="N14" s="1">
        <v>0</v>
      </c>
    </row>
    <row r="15" spans="1:14">
      <c r="A15" s="2">
        <v>45983</v>
      </c>
      <c r="B15" s="1">
        <v>1163</v>
      </c>
      <c r="C15" s="1">
        <v>4</v>
      </c>
      <c r="D15" s="1" t="s">
        <v>141</v>
      </c>
      <c r="E15" s="1" t="s">
        <v>29</v>
      </c>
      <c r="F15" s="1" t="s">
        <v>41</v>
      </c>
      <c r="G15" s="1">
        <v>36</v>
      </c>
      <c r="H15" s="1" t="s">
        <v>62</v>
      </c>
      <c r="I15" s="1" t="s">
        <v>27</v>
      </c>
      <c r="J15" s="1">
        <v>2</v>
      </c>
      <c r="K15" s="1">
        <v>23.23</v>
      </c>
      <c r="L15" s="1">
        <v>0</v>
      </c>
      <c r="M15" s="16">
        <f t="shared" si="0"/>
        <v>46.46</v>
      </c>
      <c r="N15" s="1">
        <v>0</v>
      </c>
    </row>
    <row r="16" spans="1:14">
      <c r="A16" s="2">
        <v>46003</v>
      </c>
      <c r="B16" s="1">
        <v>1261</v>
      </c>
      <c r="C16" s="1">
        <v>4</v>
      </c>
      <c r="D16" s="1" t="s">
        <v>141</v>
      </c>
      <c r="E16" s="1" t="s">
        <v>29</v>
      </c>
      <c r="F16" s="1" t="s">
        <v>41</v>
      </c>
      <c r="G16" s="1">
        <v>5</v>
      </c>
      <c r="H16" s="1" t="s">
        <v>38</v>
      </c>
      <c r="I16" s="1" t="s">
        <v>21</v>
      </c>
      <c r="J16" s="1">
        <v>2</v>
      </c>
      <c r="K16" s="1">
        <v>42.53</v>
      </c>
      <c r="L16" s="1">
        <v>0</v>
      </c>
      <c r="M16" s="16">
        <f t="shared" si="0"/>
        <v>85.06</v>
      </c>
      <c r="N16" s="1">
        <v>0</v>
      </c>
    </row>
    <row r="17" spans="1:14">
      <c r="A17" s="2">
        <v>46007</v>
      </c>
      <c r="B17" s="1">
        <v>1284</v>
      </c>
      <c r="C17" s="1">
        <v>4</v>
      </c>
      <c r="D17" s="1" t="s">
        <v>141</v>
      </c>
      <c r="E17" s="1" t="s">
        <v>29</v>
      </c>
      <c r="F17" s="1" t="s">
        <v>41</v>
      </c>
      <c r="G17" s="1">
        <v>20</v>
      </c>
      <c r="H17" s="1" t="s">
        <v>16</v>
      </c>
      <c r="I17" s="1" t="s">
        <v>17</v>
      </c>
      <c r="J17" s="1">
        <v>1</v>
      </c>
      <c r="K17" s="1">
        <v>32.76</v>
      </c>
      <c r="L17" s="1">
        <v>0</v>
      </c>
      <c r="M17" s="16">
        <f t="shared" si="0"/>
        <v>32.76</v>
      </c>
      <c r="N17" s="1">
        <v>0</v>
      </c>
    </row>
    <row r="18" spans="1:14">
      <c r="A18" s="2">
        <v>45949</v>
      </c>
      <c r="B18" s="1">
        <v>1026</v>
      </c>
      <c r="C18" s="1">
        <v>5</v>
      </c>
      <c r="D18" s="1" t="s">
        <v>76</v>
      </c>
      <c r="E18" s="1" t="s">
        <v>40</v>
      </c>
      <c r="F18" s="1" t="s">
        <v>55</v>
      </c>
      <c r="G18" s="1">
        <v>16</v>
      </c>
      <c r="H18" s="1" t="s">
        <v>77</v>
      </c>
      <c r="I18" s="1" t="s">
        <v>17</v>
      </c>
      <c r="J18" s="1">
        <v>2</v>
      </c>
      <c r="K18" s="1">
        <v>11.81</v>
      </c>
      <c r="L18" s="1">
        <v>0</v>
      </c>
      <c r="M18" s="16">
        <f t="shared" si="0"/>
        <v>23.62</v>
      </c>
      <c r="N18" s="1">
        <v>0</v>
      </c>
    </row>
    <row r="19" spans="1:14">
      <c r="A19" s="2">
        <v>45985</v>
      </c>
      <c r="B19" s="1">
        <v>1171</v>
      </c>
      <c r="C19" s="1">
        <v>5</v>
      </c>
      <c r="D19" s="1" t="s">
        <v>76</v>
      </c>
      <c r="E19" s="1" t="s">
        <v>40</v>
      </c>
      <c r="F19" s="1" t="s">
        <v>55</v>
      </c>
      <c r="G19" s="1">
        <v>22</v>
      </c>
      <c r="H19" s="1" t="s">
        <v>75</v>
      </c>
      <c r="I19" s="1" t="s">
        <v>17</v>
      </c>
      <c r="J19" s="1">
        <v>1</v>
      </c>
      <c r="K19" s="1">
        <v>29.98</v>
      </c>
      <c r="L19" s="1">
        <v>25</v>
      </c>
      <c r="M19" s="16">
        <f t="shared" si="0"/>
        <v>22.484999999999999</v>
      </c>
      <c r="N19" s="1">
        <v>0</v>
      </c>
    </row>
    <row r="20" spans="1:14">
      <c r="A20" s="2">
        <v>45985</v>
      </c>
      <c r="B20" s="1">
        <v>1044</v>
      </c>
      <c r="C20" s="1">
        <v>5</v>
      </c>
      <c r="D20" s="1" t="s">
        <v>76</v>
      </c>
      <c r="E20" s="1" t="s">
        <v>40</v>
      </c>
      <c r="F20" s="1" t="s">
        <v>55</v>
      </c>
      <c r="G20" s="1">
        <v>39</v>
      </c>
      <c r="H20" s="1" t="s">
        <v>36</v>
      </c>
      <c r="I20" s="1" t="s">
        <v>27</v>
      </c>
      <c r="J20" s="1">
        <v>1</v>
      </c>
      <c r="K20" s="1">
        <v>39.979999999999997</v>
      </c>
      <c r="L20" s="1">
        <v>20</v>
      </c>
      <c r="M20" s="16">
        <f t="shared" si="0"/>
        <v>31.983999999999998</v>
      </c>
      <c r="N20" s="1">
        <v>0</v>
      </c>
    </row>
    <row r="21" spans="1:14">
      <c r="A21" s="2">
        <v>45789</v>
      </c>
      <c r="B21" s="1">
        <v>1225</v>
      </c>
      <c r="C21" s="1">
        <v>5</v>
      </c>
      <c r="D21" s="1" t="s">
        <v>76</v>
      </c>
      <c r="E21" s="1" t="s">
        <v>40</v>
      </c>
      <c r="F21" s="1" t="s">
        <v>55</v>
      </c>
      <c r="G21" s="1">
        <v>18</v>
      </c>
      <c r="H21" s="1" t="s">
        <v>23</v>
      </c>
      <c r="I21" s="1" t="s">
        <v>17</v>
      </c>
      <c r="J21" s="1">
        <v>2</v>
      </c>
      <c r="K21" s="1">
        <v>44.01</v>
      </c>
      <c r="L21" s="1">
        <v>0</v>
      </c>
      <c r="M21" s="16">
        <f t="shared" si="0"/>
        <v>88.02</v>
      </c>
      <c r="N21" s="1">
        <v>0</v>
      </c>
    </row>
    <row r="22" spans="1:14">
      <c r="A22" s="2">
        <v>46068</v>
      </c>
      <c r="B22" s="1">
        <v>1488</v>
      </c>
      <c r="C22" s="1">
        <v>5</v>
      </c>
      <c r="D22" s="1" t="s">
        <v>76</v>
      </c>
      <c r="E22" s="1" t="s">
        <v>40</v>
      </c>
      <c r="F22" s="1" t="s">
        <v>55</v>
      </c>
      <c r="G22" s="1">
        <v>26</v>
      </c>
      <c r="H22" s="1" t="s">
        <v>83</v>
      </c>
      <c r="I22" s="1" t="s">
        <v>37</v>
      </c>
      <c r="J22" s="1">
        <v>1</v>
      </c>
      <c r="K22" s="1">
        <v>31.76</v>
      </c>
      <c r="L22" s="1">
        <v>0</v>
      </c>
      <c r="M22" s="16">
        <f t="shared" si="0"/>
        <v>31.76</v>
      </c>
      <c r="N22" s="1">
        <v>0</v>
      </c>
    </row>
    <row r="23" spans="1:14">
      <c r="A23" s="2">
        <v>45985</v>
      </c>
      <c r="B23" s="1">
        <v>1171</v>
      </c>
      <c r="C23" s="1">
        <f>_xlfn.XLOOKUP(D23,'Customer Data'!B:B,'Customer Data'!A:A,"Not Found")</f>
        <v>5</v>
      </c>
      <c r="D23" s="1" t="s">
        <v>76</v>
      </c>
      <c r="E23" s="1" t="s">
        <v>40</v>
      </c>
      <c r="F23" s="1" t="s">
        <v>55</v>
      </c>
      <c r="G23" s="1">
        <v>15</v>
      </c>
      <c r="H23" s="1" t="s">
        <v>48</v>
      </c>
      <c r="I23" s="1" t="s">
        <v>33</v>
      </c>
      <c r="J23" s="1">
        <v>2</v>
      </c>
      <c r="K23" s="1">
        <v>47.71</v>
      </c>
      <c r="L23" s="1">
        <v>15</v>
      </c>
      <c r="M23" s="16">
        <f t="shared" si="0"/>
        <v>81.106999999999999</v>
      </c>
      <c r="N23" s="1">
        <v>0</v>
      </c>
    </row>
    <row r="24" spans="1:14">
      <c r="A24" s="2">
        <v>45946</v>
      </c>
      <c r="B24" s="1">
        <v>1012</v>
      </c>
      <c r="C24" s="1">
        <v>6</v>
      </c>
      <c r="D24" s="1" t="s">
        <v>49</v>
      </c>
      <c r="E24" s="1" t="s">
        <v>14</v>
      </c>
      <c r="F24" s="1" t="s">
        <v>41</v>
      </c>
      <c r="G24" s="1">
        <v>31</v>
      </c>
      <c r="H24" s="1" t="s">
        <v>30</v>
      </c>
      <c r="I24" s="1" t="s">
        <v>31</v>
      </c>
      <c r="J24" s="1">
        <v>1</v>
      </c>
      <c r="K24" s="1">
        <v>57.51</v>
      </c>
      <c r="L24" s="1">
        <v>5</v>
      </c>
      <c r="M24" s="16">
        <f t="shared" si="0"/>
        <v>54.634499999999996</v>
      </c>
      <c r="N24" s="1">
        <v>0</v>
      </c>
    </row>
    <row r="25" spans="1:14">
      <c r="A25" s="2">
        <v>45954</v>
      </c>
      <c r="B25" s="1">
        <v>1043</v>
      </c>
      <c r="C25" s="1">
        <v>6</v>
      </c>
      <c r="D25" s="1" t="s">
        <v>49</v>
      </c>
      <c r="E25" s="1" t="s">
        <v>14</v>
      </c>
      <c r="F25" s="1" t="s">
        <v>41</v>
      </c>
      <c r="G25" s="1">
        <v>29</v>
      </c>
      <c r="H25" s="1" t="s">
        <v>96</v>
      </c>
      <c r="I25" s="1" t="s">
        <v>31</v>
      </c>
      <c r="J25" s="1">
        <v>2</v>
      </c>
      <c r="K25" s="1">
        <v>45.67</v>
      </c>
      <c r="L25" s="1">
        <v>10</v>
      </c>
      <c r="M25" s="16">
        <f t="shared" si="0"/>
        <v>82.206000000000003</v>
      </c>
      <c r="N25" s="1">
        <v>0</v>
      </c>
    </row>
    <row r="26" spans="1:14">
      <c r="A26" s="2">
        <v>45954</v>
      </c>
      <c r="B26" s="1">
        <v>1043</v>
      </c>
      <c r="C26" s="1">
        <v>6</v>
      </c>
      <c r="D26" s="1" t="s">
        <v>49</v>
      </c>
      <c r="E26" s="1" t="s">
        <v>14</v>
      </c>
      <c r="F26" s="1" t="s">
        <v>41</v>
      </c>
      <c r="G26" s="1">
        <v>21</v>
      </c>
      <c r="H26" s="1" t="s">
        <v>97</v>
      </c>
      <c r="I26" s="1" t="s">
        <v>17</v>
      </c>
      <c r="J26" s="1">
        <v>1</v>
      </c>
      <c r="K26" s="1">
        <v>49.37</v>
      </c>
      <c r="L26" s="1">
        <v>10</v>
      </c>
      <c r="M26" s="16">
        <f t="shared" si="0"/>
        <v>44.433</v>
      </c>
      <c r="N26" s="1">
        <v>0</v>
      </c>
    </row>
    <row r="27" spans="1:14">
      <c r="A27" s="2">
        <v>45954</v>
      </c>
      <c r="B27" s="1">
        <v>1043</v>
      </c>
      <c r="C27" s="1">
        <v>6</v>
      </c>
      <c r="D27" s="1" t="s">
        <v>49</v>
      </c>
      <c r="E27" s="1" t="s">
        <v>14</v>
      </c>
      <c r="F27" s="1" t="s">
        <v>41</v>
      </c>
      <c r="G27" s="1">
        <v>7</v>
      </c>
      <c r="H27" s="1" t="s">
        <v>46</v>
      </c>
      <c r="I27" s="1" t="s">
        <v>21</v>
      </c>
      <c r="J27" s="1">
        <v>2</v>
      </c>
      <c r="K27" s="1">
        <v>79.39</v>
      </c>
      <c r="L27" s="1">
        <v>0</v>
      </c>
      <c r="M27" s="16">
        <f t="shared" si="0"/>
        <v>158.78</v>
      </c>
      <c r="N27" s="1">
        <v>0</v>
      </c>
    </row>
    <row r="28" spans="1:14">
      <c r="A28" s="2">
        <v>45955</v>
      </c>
      <c r="B28" s="1">
        <v>1047</v>
      </c>
      <c r="C28" s="1">
        <v>6</v>
      </c>
      <c r="D28" s="1" t="s">
        <v>49</v>
      </c>
      <c r="E28" s="1" t="s">
        <v>14</v>
      </c>
      <c r="F28" s="1" t="s">
        <v>41</v>
      </c>
      <c r="G28" s="1">
        <v>25</v>
      </c>
      <c r="H28" s="1" t="s">
        <v>214</v>
      </c>
      <c r="I28" s="1" t="s">
        <v>37</v>
      </c>
      <c r="J28" s="1">
        <v>1</v>
      </c>
      <c r="K28" s="1">
        <v>17.78</v>
      </c>
      <c r="L28" s="1">
        <v>0</v>
      </c>
      <c r="M28" s="16">
        <f t="shared" si="0"/>
        <v>17.78</v>
      </c>
      <c r="N28" s="1">
        <v>0</v>
      </c>
    </row>
    <row r="29" spans="1:14">
      <c r="A29" s="2">
        <v>45955</v>
      </c>
      <c r="B29" s="1">
        <v>1047</v>
      </c>
      <c r="C29" s="1">
        <v>6</v>
      </c>
      <c r="D29" s="1" t="s">
        <v>49</v>
      </c>
      <c r="E29" s="1" t="s">
        <v>14</v>
      </c>
      <c r="F29" s="1" t="s">
        <v>41</v>
      </c>
      <c r="G29" s="1">
        <v>26</v>
      </c>
      <c r="H29" s="1" t="s">
        <v>83</v>
      </c>
      <c r="I29" s="1" t="s">
        <v>37</v>
      </c>
      <c r="J29" s="1">
        <v>1</v>
      </c>
      <c r="K29" s="1">
        <v>31.76</v>
      </c>
      <c r="L29" s="1">
        <v>10</v>
      </c>
      <c r="M29" s="16">
        <f t="shared" si="0"/>
        <v>28.584000000000003</v>
      </c>
      <c r="N29" s="1">
        <v>0</v>
      </c>
    </row>
    <row r="30" spans="1:14">
      <c r="A30" s="2">
        <v>45955</v>
      </c>
      <c r="B30" s="1">
        <v>1047</v>
      </c>
      <c r="C30" s="1">
        <v>6</v>
      </c>
      <c r="D30" s="1" t="s">
        <v>49</v>
      </c>
      <c r="E30" s="1" t="s">
        <v>14</v>
      </c>
      <c r="F30" s="1" t="s">
        <v>41</v>
      </c>
      <c r="G30" s="1">
        <v>15</v>
      </c>
      <c r="H30" s="1" t="s">
        <v>48</v>
      </c>
      <c r="I30" s="1" t="s">
        <v>33</v>
      </c>
      <c r="J30" s="1">
        <v>3</v>
      </c>
      <c r="K30" s="1">
        <v>47.71</v>
      </c>
      <c r="L30" s="1">
        <v>0</v>
      </c>
      <c r="M30" s="16">
        <f t="shared" si="0"/>
        <v>143.13</v>
      </c>
      <c r="N30" s="1">
        <v>0</v>
      </c>
    </row>
    <row r="31" spans="1:14">
      <c r="A31" s="2">
        <v>45849</v>
      </c>
      <c r="B31" s="1">
        <v>1086</v>
      </c>
      <c r="C31" s="1">
        <v>6</v>
      </c>
      <c r="D31" s="1" t="s">
        <v>49</v>
      </c>
      <c r="E31" s="1" t="s">
        <v>14</v>
      </c>
      <c r="F31" s="1" t="s">
        <v>41</v>
      </c>
      <c r="G31" s="1">
        <v>23</v>
      </c>
      <c r="H31" s="1" t="s">
        <v>98</v>
      </c>
      <c r="I31" s="1" t="s">
        <v>37</v>
      </c>
      <c r="J31" s="1">
        <v>1</v>
      </c>
      <c r="K31" s="1">
        <v>38.14</v>
      </c>
      <c r="L31" s="1">
        <v>10</v>
      </c>
      <c r="M31" s="16">
        <f t="shared" si="0"/>
        <v>34.326000000000001</v>
      </c>
      <c r="N31" s="1">
        <v>0</v>
      </c>
    </row>
    <row r="32" spans="1:14">
      <c r="A32" s="2">
        <v>45849</v>
      </c>
      <c r="B32" s="1">
        <v>1086</v>
      </c>
      <c r="C32" s="1">
        <v>6</v>
      </c>
      <c r="D32" s="1" t="s">
        <v>49</v>
      </c>
      <c r="E32" s="1" t="s">
        <v>14</v>
      </c>
      <c r="F32" s="1" t="s">
        <v>41</v>
      </c>
      <c r="G32" s="1">
        <v>13</v>
      </c>
      <c r="H32" s="1" t="s">
        <v>45</v>
      </c>
      <c r="I32" s="1" t="s">
        <v>33</v>
      </c>
      <c r="J32" s="1">
        <v>1</v>
      </c>
      <c r="K32" s="1">
        <v>54.9</v>
      </c>
      <c r="L32" s="1">
        <v>5</v>
      </c>
      <c r="M32" s="16">
        <f t="shared" si="0"/>
        <v>52.154999999999994</v>
      </c>
      <c r="N32" s="1">
        <v>0</v>
      </c>
    </row>
    <row r="33" spans="1:14">
      <c r="A33" s="2">
        <v>45849</v>
      </c>
      <c r="B33" s="1">
        <v>1086</v>
      </c>
      <c r="C33" s="1">
        <v>6</v>
      </c>
      <c r="D33" s="1" t="s">
        <v>49</v>
      </c>
      <c r="E33" s="1" t="s">
        <v>14</v>
      </c>
      <c r="F33" s="1" t="s">
        <v>41</v>
      </c>
      <c r="G33" s="1">
        <v>33</v>
      </c>
      <c r="H33" s="1" t="s">
        <v>42</v>
      </c>
      <c r="I33" s="1" t="s">
        <v>31</v>
      </c>
      <c r="J33" s="1">
        <v>3</v>
      </c>
      <c r="K33" s="1">
        <v>40.94</v>
      </c>
      <c r="L33" s="1">
        <v>5</v>
      </c>
      <c r="M33" s="16">
        <f t="shared" si="0"/>
        <v>116.67899999999999</v>
      </c>
      <c r="N33" s="1">
        <v>0</v>
      </c>
    </row>
    <row r="34" spans="1:14">
      <c r="A34" s="2">
        <v>45941</v>
      </c>
      <c r="B34" s="1">
        <v>1044</v>
      </c>
      <c r="C34" s="1">
        <v>6</v>
      </c>
      <c r="D34" s="1" t="s">
        <v>49</v>
      </c>
      <c r="E34" s="1" t="s">
        <v>14</v>
      </c>
      <c r="F34" s="1" t="s">
        <v>41</v>
      </c>
      <c r="G34" s="1">
        <v>12</v>
      </c>
      <c r="H34" s="1" t="s">
        <v>215</v>
      </c>
      <c r="I34" s="1" t="s">
        <v>33</v>
      </c>
      <c r="J34" s="1">
        <v>1</v>
      </c>
      <c r="K34" s="1">
        <v>8.4499999999999993</v>
      </c>
      <c r="L34" s="1">
        <v>10</v>
      </c>
      <c r="M34" s="16">
        <f t="shared" si="0"/>
        <v>7.6049999999999995</v>
      </c>
      <c r="N34" s="1">
        <v>0</v>
      </c>
    </row>
    <row r="35" spans="1:14">
      <c r="A35" s="2">
        <v>45941</v>
      </c>
      <c r="B35" s="1">
        <v>1103</v>
      </c>
      <c r="C35" s="1">
        <v>6</v>
      </c>
      <c r="D35" s="1" t="s">
        <v>49</v>
      </c>
      <c r="E35" s="1" t="s">
        <v>14</v>
      </c>
      <c r="F35" s="1" t="s">
        <v>41</v>
      </c>
      <c r="G35" s="1">
        <v>36</v>
      </c>
      <c r="H35" s="1" t="s">
        <v>62</v>
      </c>
      <c r="I35" s="1" t="s">
        <v>27</v>
      </c>
      <c r="J35" s="1">
        <v>1</v>
      </c>
      <c r="K35" s="1">
        <v>23.23</v>
      </c>
      <c r="L35" s="1">
        <v>0</v>
      </c>
      <c r="M35" s="16">
        <f t="shared" si="0"/>
        <v>23.23</v>
      </c>
      <c r="N35" s="1">
        <v>0</v>
      </c>
    </row>
    <row r="36" spans="1:14">
      <c r="A36" s="2">
        <v>45941</v>
      </c>
      <c r="B36" s="1">
        <v>1103</v>
      </c>
      <c r="C36" s="1">
        <v>6</v>
      </c>
      <c r="D36" s="1" t="s">
        <v>49</v>
      </c>
      <c r="E36" s="1" t="s">
        <v>14</v>
      </c>
      <c r="F36" s="1" t="s">
        <v>41</v>
      </c>
      <c r="G36" s="1">
        <v>28</v>
      </c>
      <c r="H36" s="1" t="s">
        <v>51</v>
      </c>
      <c r="I36" s="1" t="s">
        <v>37</v>
      </c>
      <c r="J36" s="1">
        <v>3</v>
      </c>
      <c r="K36" s="1">
        <v>21.24</v>
      </c>
      <c r="L36" s="1">
        <v>0</v>
      </c>
      <c r="M36" s="16">
        <f t="shared" si="0"/>
        <v>63.72</v>
      </c>
      <c r="N36" s="1">
        <v>0</v>
      </c>
    </row>
    <row r="37" spans="1:14">
      <c r="A37" s="2">
        <v>45941</v>
      </c>
      <c r="B37" s="1">
        <v>1103</v>
      </c>
      <c r="C37" s="1">
        <v>6</v>
      </c>
      <c r="D37" s="1" t="s">
        <v>49</v>
      </c>
      <c r="E37" s="1" t="s">
        <v>14</v>
      </c>
      <c r="F37" s="1" t="s">
        <v>41</v>
      </c>
      <c r="G37" s="1">
        <v>10</v>
      </c>
      <c r="H37" s="1" t="s">
        <v>32</v>
      </c>
      <c r="I37" s="1" t="s">
        <v>33</v>
      </c>
      <c r="J37" s="1">
        <v>1</v>
      </c>
      <c r="K37" s="1">
        <v>62.68</v>
      </c>
      <c r="L37" s="1">
        <v>5</v>
      </c>
      <c r="M37" s="16">
        <f t="shared" si="0"/>
        <v>59.545999999999999</v>
      </c>
      <c r="N37" s="1">
        <v>0</v>
      </c>
    </row>
    <row r="38" spans="1:14">
      <c r="A38" s="2">
        <v>45974</v>
      </c>
      <c r="B38" s="1">
        <v>1118</v>
      </c>
      <c r="C38" s="1">
        <v>6</v>
      </c>
      <c r="D38" s="1" t="s">
        <v>49</v>
      </c>
      <c r="E38" s="1" t="s">
        <v>14</v>
      </c>
      <c r="F38" s="1" t="s">
        <v>35</v>
      </c>
      <c r="G38" s="1">
        <v>37</v>
      </c>
      <c r="H38" s="1" t="s">
        <v>26</v>
      </c>
      <c r="I38" s="1" t="s">
        <v>27</v>
      </c>
      <c r="J38" s="1">
        <v>3</v>
      </c>
      <c r="K38" s="1">
        <v>52.67</v>
      </c>
      <c r="L38" s="1">
        <v>5</v>
      </c>
      <c r="M38" s="16">
        <f t="shared" si="0"/>
        <v>150.1095</v>
      </c>
      <c r="N38" s="1">
        <v>0</v>
      </c>
    </row>
    <row r="39" spans="1:14">
      <c r="A39" s="2">
        <v>45988</v>
      </c>
      <c r="B39" s="1">
        <v>1184</v>
      </c>
      <c r="C39" s="1">
        <v>6</v>
      </c>
      <c r="D39" s="1" t="s">
        <v>49</v>
      </c>
      <c r="E39" s="1" t="s">
        <v>14</v>
      </c>
      <c r="F39" s="1" t="s">
        <v>41</v>
      </c>
      <c r="G39" s="1">
        <v>21</v>
      </c>
      <c r="H39" s="1" t="str">
        <f>IF(I39="Apparel","Joggers",IF(I39="Beauty","Vitamin C Serum",IF(I39="Electronics","Wireless Earbuds",IF(I39="Home","LED Lamp",IF(I39="Sports","Water Bottle",IF(I39="Toys","RC Car",""))))))</f>
        <v>LED Lamp</v>
      </c>
      <c r="I39" s="1" t="s">
        <v>17</v>
      </c>
      <c r="J39" s="1">
        <v>1</v>
      </c>
      <c r="K39" s="1">
        <v>49.37</v>
      </c>
      <c r="L39" s="1">
        <v>10</v>
      </c>
      <c r="M39" s="16">
        <f t="shared" si="0"/>
        <v>44.433</v>
      </c>
      <c r="N39" s="1">
        <v>0</v>
      </c>
    </row>
    <row r="40" spans="1:14">
      <c r="A40" s="2">
        <v>46004</v>
      </c>
      <c r="B40" s="1">
        <v>1270</v>
      </c>
      <c r="C40" s="1">
        <v>6</v>
      </c>
      <c r="D40" s="1" t="s">
        <v>49</v>
      </c>
      <c r="E40" s="1" t="s">
        <v>14</v>
      </c>
      <c r="F40" s="1" t="s">
        <v>41</v>
      </c>
      <c r="G40" s="1">
        <v>23</v>
      </c>
      <c r="H40" s="1" t="s">
        <v>98</v>
      </c>
      <c r="I40" s="1" t="s">
        <v>37</v>
      </c>
      <c r="J40" s="1">
        <v>2</v>
      </c>
      <c r="K40" s="1">
        <v>38.14</v>
      </c>
      <c r="L40" s="1">
        <v>10</v>
      </c>
      <c r="M40" s="16">
        <f t="shared" si="0"/>
        <v>68.652000000000001</v>
      </c>
      <c r="N40" s="1">
        <v>0</v>
      </c>
    </row>
    <row r="41" spans="1:14">
      <c r="A41" s="2">
        <v>46004</v>
      </c>
      <c r="B41" s="1">
        <v>1270</v>
      </c>
      <c r="C41" s="1">
        <v>6</v>
      </c>
      <c r="D41" s="1" t="s">
        <v>49</v>
      </c>
      <c r="E41" s="1" t="s">
        <v>14</v>
      </c>
      <c r="F41" s="1" t="s">
        <v>41</v>
      </c>
      <c r="G41" s="1">
        <v>27</v>
      </c>
      <c r="H41" s="1" t="s">
        <v>89</v>
      </c>
      <c r="I41" s="1" t="s">
        <v>37</v>
      </c>
      <c r="J41" s="1">
        <v>1</v>
      </c>
      <c r="K41" s="1">
        <v>27.3</v>
      </c>
      <c r="L41" s="1">
        <v>0</v>
      </c>
      <c r="M41" s="16">
        <f t="shared" si="0"/>
        <v>27.3</v>
      </c>
      <c r="N41" s="1">
        <v>0</v>
      </c>
    </row>
    <row r="42" spans="1:14">
      <c r="A42" s="2">
        <v>46004</v>
      </c>
      <c r="B42" s="1">
        <v>1270</v>
      </c>
      <c r="C42" s="1">
        <v>6</v>
      </c>
      <c r="D42" s="1" t="s">
        <v>49</v>
      </c>
      <c r="E42" s="1" t="s">
        <v>14</v>
      </c>
      <c r="F42" s="1" t="s">
        <v>41</v>
      </c>
      <c r="G42" s="1">
        <v>18</v>
      </c>
      <c r="H42" s="1" t="s">
        <v>23</v>
      </c>
      <c r="I42" s="1" t="s">
        <v>17</v>
      </c>
      <c r="J42" s="1">
        <v>1</v>
      </c>
      <c r="K42" s="1">
        <v>44.01</v>
      </c>
      <c r="L42" s="1">
        <v>0</v>
      </c>
      <c r="M42" s="16">
        <f t="shared" si="0"/>
        <v>44.01</v>
      </c>
      <c r="N42" s="1">
        <v>0</v>
      </c>
    </row>
    <row r="43" spans="1:14">
      <c r="A43" s="2">
        <v>46040</v>
      </c>
      <c r="B43" s="1">
        <v>1411</v>
      </c>
      <c r="C43" s="1">
        <v>6</v>
      </c>
      <c r="D43" s="1" t="s">
        <v>49</v>
      </c>
      <c r="E43" s="1" t="s">
        <v>14</v>
      </c>
      <c r="F43" s="1" t="s">
        <v>41</v>
      </c>
      <c r="G43" s="1">
        <v>9</v>
      </c>
      <c r="H43" s="1" t="s">
        <v>69</v>
      </c>
      <c r="I43" s="1" t="s">
        <v>33</v>
      </c>
      <c r="J43" s="1">
        <v>1</v>
      </c>
      <c r="K43" s="1">
        <v>20.69</v>
      </c>
      <c r="L43" s="1">
        <v>10</v>
      </c>
      <c r="M43" s="16">
        <f t="shared" si="0"/>
        <v>18.621000000000002</v>
      </c>
      <c r="N43" s="1">
        <v>1</v>
      </c>
    </row>
    <row r="44" spans="1:14">
      <c r="A44" s="2">
        <v>45951</v>
      </c>
      <c r="B44" s="1">
        <v>1037</v>
      </c>
      <c r="C44" s="1">
        <v>7</v>
      </c>
      <c r="D44" s="1" t="s">
        <v>90</v>
      </c>
      <c r="E44" s="1" t="s">
        <v>14</v>
      </c>
      <c r="F44" s="1" t="s">
        <v>55</v>
      </c>
      <c r="G44" s="1">
        <v>38</v>
      </c>
      <c r="H44" s="1" t="s">
        <v>70</v>
      </c>
      <c r="I44" s="1" t="s">
        <v>27</v>
      </c>
      <c r="J44" s="1">
        <v>2</v>
      </c>
      <c r="K44" s="1">
        <v>25.14</v>
      </c>
      <c r="L44" s="1">
        <v>5</v>
      </c>
      <c r="M44" s="16">
        <f t="shared" si="0"/>
        <v>47.765999999999998</v>
      </c>
      <c r="N44" s="1">
        <v>0</v>
      </c>
    </row>
    <row r="45" spans="1:14">
      <c r="A45" s="2">
        <v>45972</v>
      </c>
      <c r="B45" s="1">
        <v>1108</v>
      </c>
      <c r="C45" s="1">
        <v>7</v>
      </c>
      <c r="D45" s="1" t="s">
        <v>90</v>
      </c>
      <c r="E45" s="1" t="s">
        <v>14</v>
      </c>
      <c r="F45" s="1" t="s">
        <v>55</v>
      </c>
      <c r="G45" s="1">
        <v>8</v>
      </c>
      <c r="H45" s="1" t="s">
        <v>84</v>
      </c>
      <c r="I45" s="1" t="s">
        <v>21</v>
      </c>
      <c r="J45" s="1">
        <v>1</v>
      </c>
      <c r="K45" s="1">
        <v>16.72</v>
      </c>
      <c r="L45" s="1">
        <v>0</v>
      </c>
      <c r="M45" s="16">
        <f t="shared" si="0"/>
        <v>16.72</v>
      </c>
      <c r="N45" s="1">
        <v>0</v>
      </c>
    </row>
    <row r="46" spans="1:14">
      <c r="A46" s="2">
        <v>45975</v>
      </c>
      <c r="B46" s="1">
        <v>1122</v>
      </c>
      <c r="C46" s="1">
        <v>7</v>
      </c>
      <c r="D46" s="1" t="s">
        <v>90</v>
      </c>
      <c r="E46" s="1" t="s">
        <v>14</v>
      </c>
      <c r="F46" s="1" t="s">
        <v>55</v>
      </c>
      <c r="G46" s="1">
        <v>5</v>
      </c>
      <c r="H46" s="1" t="s">
        <v>38</v>
      </c>
      <c r="I46" s="1" t="s">
        <v>21</v>
      </c>
      <c r="J46" s="1">
        <v>3</v>
      </c>
      <c r="K46" s="1">
        <v>42.53</v>
      </c>
      <c r="L46" s="1">
        <v>0</v>
      </c>
      <c r="M46" s="16">
        <f t="shared" si="0"/>
        <v>127.59</v>
      </c>
      <c r="N46" s="1">
        <v>0</v>
      </c>
    </row>
    <row r="47" spans="1:14">
      <c r="A47" s="2">
        <v>46018</v>
      </c>
      <c r="B47" s="1">
        <v>1335</v>
      </c>
      <c r="C47" s="1">
        <v>7</v>
      </c>
      <c r="D47" s="1" t="s">
        <v>90</v>
      </c>
      <c r="E47" s="1" t="s">
        <v>14</v>
      </c>
      <c r="F47" s="1" t="s">
        <v>55</v>
      </c>
      <c r="G47" s="1">
        <v>23</v>
      </c>
      <c r="H47" s="1" t="s">
        <v>98</v>
      </c>
      <c r="I47" s="1" t="s">
        <v>37</v>
      </c>
      <c r="J47" s="1">
        <v>1</v>
      </c>
      <c r="K47" s="1">
        <v>38.14</v>
      </c>
      <c r="L47" s="1">
        <v>5</v>
      </c>
      <c r="M47" s="16">
        <f t="shared" si="0"/>
        <v>36.232999999999997</v>
      </c>
      <c r="N47" s="1">
        <v>0</v>
      </c>
    </row>
    <row r="48" spans="1:14">
      <c r="A48" s="2">
        <v>46018</v>
      </c>
      <c r="B48" s="1">
        <v>1335</v>
      </c>
      <c r="C48" s="1">
        <v>7</v>
      </c>
      <c r="D48" s="1" t="s">
        <v>90</v>
      </c>
      <c r="E48" s="1" t="s">
        <v>14</v>
      </c>
      <c r="F48" s="1" t="s">
        <v>55</v>
      </c>
      <c r="G48" s="1">
        <v>4</v>
      </c>
      <c r="H48" s="1" t="s">
        <v>92</v>
      </c>
      <c r="I48" s="1" t="s">
        <v>21</v>
      </c>
      <c r="J48" s="1">
        <v>1</v>
      </c>
      <c r="K48" s="1">
        <v>34.83</v>
      </c>
      <c r="L48" s="1">
        <v>10</v>
      </c>
      <c r="M48" s="16">
        <f t="shared" si="0"/>
        <v>31.346999999999998</v>
      </c>
      <c r="N48" s="1">
        <v>0</v>
      </c>
    </row>
    <row r="49" spans="1:14">
      <c r="A49" s="2">
        <v>46018</v>
      </c>
      <c r="B49" s="1">
        <v>1335</v>
      </c>
      <c r="C49" s="1">
        <v>7</v>
      </c>
      <c r="D49" s="1" t="s">
        <v>90</v>
      </c>
      <c r="E49" s="1" t="s">
        <v>14</v>
      </c>
      <c r="F49" s="1" t="s">
        <v>55</v>
      </c>
      <c r="G49" s="1">
        <v>40</v>
      </c>
      <c r="H49" s="1" t="s">
        <v>53</v>
      </c>
      <c r="I49" s="1" t="s">
        <v>27</v>
      </c>
      <c r="J49" s="1">
        <v>2</v>
      </c>
      <c r="K49" s="1">
        <v>38.869999999999997</v>
      </c>
      <c r="L49" s="1">
        <v>0</v>
      </c>
      <c r="M49" s="16">
        <f t="shared" si="0"/>
        <v>77.739999999999995</v>
      </c>
      <c r="N49" s="1">
        <v>0</v>
      </c>
    </row>
    <row r="50" spans="1:14">
      <c r="A50" s="2">
        <v>46054</v>
      </c>
      <c r="B50" s="1">
        <v>1365</v>
      </c>
      <c r="C50" s="1">
        <v>7</v>
      </c>
      <c r="D50" s="1" t="s">
        <v>90</v>
      </c>
      <c r="E50" s="1" t="s">
        <v>14</v>
      </c>
      <c r="F50" s="1" t="s">
        <v>55</v>
      </c>
      <c r="G50" s="1">
        <v>24</v>
      </c>
      <c r="H50" s="1" t="s">
        <v>44</v>
      </c>
      <c r="I50" s="1" t="s">
        <v>37</v>
      </c>
      <c r="J50" s="1">
        <v>1</v>
      </c>
      <c r="K50" s="1">
        <v>43.42</v>
      </c>
      <c r="L50" s="1">
        <v>15</v>
      </c>
      <c r="M50" s="16">
        <f t="shared" si="0"/>
        <v>36.907000000000004</v>
      </c>
      <c r="N50" s="1">
        <v>1</v>
      </c>
    </row>
    <row r="51" spans="1:14">
      <c r="A51" s="2">
        <v>46175</v>
      </c>
      <c r="B51" s="1">
        <v>1458</v>
      </c>
      <c r="C51" s="1">
        <v>7</v>
      </c>
      <c r="D51" s="1" t="s">
        <v>90</v>
      </c>
      <c r="E51" s="1" t="s">
        <v>14</v>
      </c>
      <c r="F51" s="1" t="s">
        <v>55</v>
      </c>
      <c r="G51" s="1">
        <v>18</v>
      </c>
      <c r="H51" s="1" t="s">
        <v>23</v>
      </c>
      <c r="I51" s="1" t="s">
        <v>17</v>
      </c>
      <c r="J51" s="1">
        <v>2</v>
      </c>
      <c r="K51" s="1">
        <v>44.01</v>
      </c>
      <c r="L51" s="1">
        <v>0</v>
      </c>
      <c r="M51" s="16">
        <f t="shared" si="0"/>
        <v>88.02</v>
      </c>
      <c r="N51" s="1">
        <v>0</v>
      </c>
    </row>
    <row r="52" spans="1:14">
      <c r="A52" s="2">
        <v>46175</v>
      </c>
      <c r="B52" s="1">
        <v>1458</v>
      </c>
      <c r="C52" s="1">
        <v>7</v>
      </c>
      <c r="D52" s="1" t="s">
        <v>90</v>
      </c>
      <c r="E52" s="1" t="s">
        <v>14</v>
      </c>
      <c r="F52" s="1" t="s">
        <v>55</v>
      </c>
      <c r="G52" s="1">
        <v>2</v>
      </c>
      <c r="H52" s="1" t="s">
        <v>80</v>
      </c>
      <c r="I52" s="1" t="s">
        <v>21</v>
      </c>
      <c r="J52" s="1">
        <v>2</v>
      </c>
      <c r="K52" s="1">
        <v>64.02</v>
      </c>
      <c r="L52" s="1">
        <v>10</v>
      </c>
      <c r="M52" s="16">
        <f t="shared" si="0"/>
        <v>115.23599999999999</v>
      </c>
      <c r="N52" s="1">
        <v>0</v>
      </c>
    </row>
    <row r="53" spans="1:14">
      <c r="A53" s="2">
        <v>46016</v>
      </c>
      <c r="B53" s="1">
        <v>1458</v>
      </c>
      <c r="C53" s="1">
        <v>7</v>
      </c>
      <c r="D53" s="1" t="s">
        <v>90</v>
      </c>
      <c r="E53" s="1" t="s">
        <v>14</v>
      </c>
      <c r="F53" s="1" t="s">
        <v>55</v>
      </c>
      <c r="G53" s="1">
        <v>39</v>
      </c>
      <c r="H53" s="1" t="s">
        <v>36</v>
      </c>
      <c r="I53" s="1" t="s">
        <v>27</v>
      </c>
      <c r="J53" s="1">
        <v>1</v>
      </c>
      <c r="K53" s="1">
        <v>39.979999999999997</v>
      </c>
      <c r="L53" s="1">
        <v>0</v>
      </c>
      <c r="M53" s="16">
        <f t="shared" si="0"/>
        <v>39.979999999999997</v>
      </c>
      <c r="N53" s="1">
        <v>0</v>
      </c>
    </row>
    <row r="54" spans="1:14">
      <c r="A54" s="2">
        <v>45988</v>
      </c>
      <c r="B54" s="1">
        <v>1185</v>
      </c>
      <c r="C54" s="1">
        <v>8</v>
      </c>
      <c r="D54" s="1" t="s">
        <v>123</v>
      </c>
      <c r="E54" s="1" t="s">
        <v>14</v>
      </c>
      <c r="F54" s="1" t="s">
        <v>35</v>
      </c>
      <c r="G54" s="1">
        <v>37</v>
      </c>
      <c r="H54" s="1" t="s">
        <v>26</v>
      </c>
      <c r="I54" s="1" t="s">
        <v>27</v>
      </c>
      <c r="J54" s="1">
        <v>1</v>
      </c>
      <c r="K54" s="1">
        <v>52.67</v>
      </c>
      <c r="L54" s="1">
        <v>10</v>
      </c>
      <c r="M54" s="16">
        <f t="shared" si="0"/>
        <v>47.403000000000006</v>
      </c>
      <c r="N54" s="1">
        <v>0</v>
      </c>
    </row>
    <row r="55" spans="1:14">
      <c r="A55" s="2">
        <v>45988</v>
      </c>
      <c r="B55" s="1">
        <v>1185</v>
      </c>
      <c r="C55" s="1">
        <v>8</v>
      </c>
      <c r="D55" s="1" t="s">
        <v>123</v>
      </c>
      <c r="E55" s="1" t="s">
        <v>14</v>
      </c>
      <c r="F55" s="1" t="s">
        <v>35</v>
      </c>
      <c r="G55" s="1">
        <v>28</v>
      </c>
      <c r="H55" s="1" t="s">
        <v>51</v>
      </c>
      <c r="I55" s="1" t="s">
        <v>37</v>
      </c>
      <c r="J55" s="1">
        <v>1</v>
      </c>
      <c r="K55" s="1">
        <v>21.24</v>
      </c>
      <c r="L55" s="1">
        <v>0</v>
      </c>
      <c r="M55" s="16">
        <f t="shared" si="0"/>
        <v>21.24</v>
      </c>
      <c r="N55" s="1">
        <v>0</v>
      </c>
    </row>
    <row r="56" spans="1:14">
      <c r="A56" s="2">
        <v>45991</v>
      </c>
      <c r="B56" s="1">
        <v>1198</v>
      </c>
      <c r="C56" s="1">
        <v>8</v>
      </c>
      <c r="D56" s="1" t="s">
        <v>123</v>
      </c>
      <c r="E56" s="1" t="s">
        <v>14</v>
      </c>
      <c r="F56" s="1" t="s">
        <v>35</v>
      </c>
      <c r="G56" s="1">
        <v>24</v>
      </c>
      <c r="H56" s="1" t="s">
        <v>44</v>
      </c>
      <c r="I56" s="1" t="s">
        <v>37</v>
      </c>
      <c r="J56" s="1">
        <v>2</v>
      </c>
      <c r="K56" s="1">
        <v>43.42</v>
      </c>
      <c r="L56" s="1">
        <v>0</v>
      </c>
      <c r="M56" s="16">
        <f t="shared" si="0"/>
        <v>86.84</v>
      </c>
      <c r="N56" s="1">
        <v>0</v>
      </c>
    </row>
    <row r="57" spans="1:14">
      <c r="A57" s="2">
        <v>45991</v>
      </c>
      <c r="B57" s="1">
        <v>1198</v>
      </c>
      <c r="C57" s="1">
        <v>8</v>
      </c>
      <c r="D57" s="1" t="s">
        <v>123</v>
      </c>
      <c r="E57" s="1" t="s">
        <v>14</v>
      </c>
      <c r="F57" s="1" t="s">
        <v>35</v>
      </c>
      <c r="G57" s="1">
        <v>11</v>
      </c>
      <c r="H57" s="1" t="s">
        <v>65</v>
      </c>
      <c r="I57" s="1" t="s">
        <v>33</v>
      </c>
      <c r="J57" s="1">
        <v>1</v>
      </c>
      <c r="K57" s="1">
        <v>58.35</v>
      </c>
      <c r="L57" s="1">
        <v>5</v>
      </c>
      <c r="M57" s="16">
        <f t="shared" si="0"/>
        <v>55.432499999999997</v>
      </c>
      <c r="N57" s="1">
        <v>0</v>
      </c>
    </row>
    <row r="58" spans="1:14">
      <c r="A58" s="2">
        <v>45994</v>
      </c>
      <c r="B58" s="1">
        <v>1215</v>
      </c>
      <c r="C58" s="1">
        <v>8</v>
      </c>
      <c r="D58" s="1" t="s">
        <v>123</v>
      </c>
      <c r="E58" s="1" t="s">
        <v>14</v>
      </c>
      <c r="F58" s="1" t="s">
        <v>35</v>
      </c>
      <c r="G58" s="1">
        <v>11</v>
      </c>
      <c r="H58" s="1" t="s">
        <v>65</v>
      </c>
      <c r="I58" s="1" t="s">
        <v>33</v>
      </c>
      <c r="J58" s="1">
        <v>2</v>
      </c>
      <c r="K58" s="1">
        <v>58.35</v>
      </c>
      <c r="L58" s="1">
        <v>10</v>
      </c>
      <c r="M58" s="16">
        <f t="shared" si="0"/>
        <v>105.03</v>
      </c>
      <c r="N58" s="1">
        <v>0</v>
      </c>
    </row>
    <row r="59" spans="1:14">
      <c r="A59" s="2">
        <v>45820</v>
      </c>
      <c r="B59" s="1">
        <v>1229</v>
      </c>
      <c r="C59" s="1">
        <v>8</v>
      </c>
      <c r="D59" s="1" t="s">
        <v>123</v>
      </c>
      <c r="E59" s="1" t="s">
        <v>14</v>
      </c>
      <c r="F59" s="1" t="s">
        <v>35</v>
      </c>
      <c r="G59" s="1">
        <v>27</v>
      </c>
      <c r="H59" s="1" t="s">
        <v>89</v>
      </c>
      <c r="I59" s="1" t="s">
        <v>37</v>
      </c>
      <c r="J59" s="1">
        <v>1</v>
      </c>
      <c r="K59" s="1">
        <v>27.3</v>
      </c>
      <c r="L59" s="1">
        <v>0</v>
      </c>
      <c r="M59" s="16">
        <f t="shared" si="0"/>
        <v>27.3</v>
      </c>
      <c r="N59" s="1">
        <v>0</v>
      </c>
    </row>
    <row r="60" spans="1:14">
      <c r="A60" s="2">
        <v>45820</v>
      </c>
      <c r="B60" s="1">
        <v>1229</v>
      </c>
      <c r="C60" s="1">
        <v>8</v>
      </c>
      <c r="D60" s="1" t="s">
        <v>123</v>
      </c>
      <c r="E60" s="1" t="s">
        <v>14</v>
      </c>
      <c r="F60" s="1" t="s">
        <v>35</v>
      </c>
      <c r="G60" s="1">
        <v>28</v>
      </c>
      <c r="H60" s="1" t="s">
        <v>51</v>
      </c>
      <c r="I60" s="1" t="s">
        <v>37</v>
      </c>
      <c r="J60" s="1">
        <v>2</v>
      </c>
      <c r="K60" s="1">
        <v>21.24</v>
      </c>
      <c r="L60" s="1">
        <v>0</v>
      </c>
      <c r="M60" s="16">
        <f t="shared" si="0"/>
        <v>42.48</v>
      </c>
      <c r="N60" s="1">
        <v>0</v>
      </c>
    </row>
    <row r="61" spans="1:14">
      <c r="A61" s="2">
        <v>45820</v>
      </c>
      <c r="B61" s="1">
        <v>1229</v>
      </c>
      <c r="C61" s="1">
        <v>8</v>
      </c>
      <c r="D61" s="1" t="s">
        <v>123</v>
      </c>
      <c r="E61" s="1" t="s">
        <v>14</v>
      </c>
      <c r="F61" s="1" t="s">
        <v>35</v>
      </c>
      <c r="G61" s="1">
        <v>4</v>
      </c>
      <c r="H61" s="1" t="s">
        <v>92</v>
      </c>
      <c r="I61" s="1" t="s">
        <v>21</v>
      </c>
      <c r="J61" s="1">
        <v>1</v>
      </c>
      <c r="K61" s="1">
        <v>34.83</v>
      </c>
      <c r="L61" s="1">
        <v>5.5</v>
      </c>
      <c r="M61" s="16">
        <f t="shared" si="0"/>
        <v>32.914349999999999</v>
      </c>
      <c r="N61" s="1">
        <v>0</v>
      </c>
    </row>
    <row r="62" spans="1:14">
      <c r="A62" s="2">
        <v>46016</v>
      </c>
      <c r="B62" s="1">
        <v>1478</v>
      </c>
      <c r="C62" s="1">
        <v>8</v>
      </c>
      <c r="D62" s="1" t="s">
        <v>123</v>
      </c>
      <c r="E62" s="1" t="s">
        <v>14</v>
      </c>
      <c r="F62" s="1" t="s">
        <v>35</v>
      </c>
      <c r="G62" s="1">
        <v>15</v>
      </c>
      <c r="H62" s="1" t="s">
        <v>48</v>
      </c>
      <c r="I62" s="1" t="s">
        <v>33</v>
      </c>
      <c r="J62" s="1">
        <v>2</v>
      </c>
      <c r="K62" s="1">
        <v>47.71</v>
      </c>
      <c r="L62" s="1">
        <v>5</v>
      </c>
      <c r="M62" s="16">
        <f t="shared" si="0"/>
        <v>90.649000000000001</v>
      </c>
      <c r="N62" s="1">
        <v>0</v>
      </c>
    </row>
    <row r="63" spans="1:14">
      <c r="A63" s="2">
        <v>46358</v>
      </c>
      <c r="B63" s="1">
        <v>1478</v>
      </c>
      <c r="C63" s="1">
        <v>8</v>
      </c>
      <c r="D63" s="1" t="s">
        <v>123</v>
      </c>
      <c r="E63" s="1" t="s">
        <v>14</v>
      </c>
      <c r="F63" s="1" t="s">
        <v>35</v>
      </c>
      <c r="G63" s="1">
        <v>11</v>
      </c>
      <c r="H63" s="1" t="s">
        <v>65</v>
      </c>
      <c r="I63" s="1" t="s">
        <v>33</v>
      </c>
      <c r="J63" s="1">
        <v>1</v>
      </c>
      <c r="K63" s="1">
        <v>58.35</v>
      </c>
      <c r="L63" s="1">
        <v>0</v>
      </c>
      <c r="M63" s="16">
        <f t="shared" si="0"/>
        <v>58.35</v>
      </c>
      <c r="N63" s="1">
        <v>0</v>
      </c>
    </row>
    <row r="64" spans="1:14">
      <c r="A64" s="2">
        <v>46067</v>
      </c>
      <c r="B64" s="1">
        <v>1485</v>
      </c>
      <c r="C64" s="1">
        <v>8</v>
      </c>
      <c r="D64" s="1" t="s">
        <v>123</v>
      </c>
      <c r="E64" s="1" t="s">
        <v>14</v>
      </c>
      <c r="F64" s="1" t="s">
        <v>35</v>
      </c>
      <c r="G64" s="1">
        <v>1</v>
      </c>
      <c r="H64" s="1" t="s">
        <v>20</v>
      </c>
      <c r="I64" s="1" t="s">
        <v>21</v>
      </c>
      <c r="J64" s="1">
        <v>1</v>
      </c>
      <c r="K64" s="1">
        <v>47.45</v>
      </c>
      <c r="L64" s="1">
        <v>10</v>
      </c>
      <c r="M64" s="16">
        <f t="shared" si="0"/>
        <v>42.705000000000005</v>
      </c>
      <c r="N64" s="1">
        <v>0</v>
      </c>
    </row>
    <row r="65" spans="1:14">
      <c r="A65" s="2">
        <v>45972</v>
      </c>
      <c r="B65" s="1">
        <v>1109</v>
      </c>
      <c r="C65" s="1">
        <f>_xlfn.XLOOKUP(D65,'Customer Data'!B:B,'Customer Data'!A:A,"Not Found")</f>
        <v>8</v>
      </c>
      <c r="D65" s="1" t="s">
        <v>123</v>
      </c>
      <c r="E65" s="1" t="s">
        <v>14</v>
      </c>
      <c r="F65" s="1" t="s">
        <v>35</v>
      </c>
      <c r="G65" s="1">
        <v>8</v>
      </c>
      <c r="H65" s="1" t="s">
        <v>84</v>
      </c>
      <c r="I65" s="1" t="s">
        <v>21</v>
      </c>
      <c r="J65" s="1">
        <v>3</v>
      </c>
      <c r="K65" s="1">
        <v>16.72</v>
      </c>
      <c r="L65" s="1">
        <v>25</v>
      </c>
      <c r="M65" s="16">
        <f t="shared" si="0"/>
        <v>37.619999999999997</v>
      </c>
      <c r="N65" s="1">
        <v>0</v>
      </c>
    </row>
    <row r="66" spans="1:14">
      <c r="A66" s="2">
        <v>45948</v>
      </c>
      <c r="B66" s="1">
        <v>1022</v>
      </c>
      <c r="C66" s="1">
        <v>10</v>
      </c>
      <c r="D66" s="1" t="s">
        <v>67</v>
      </c>
      <c r="E66" s="1" t="s">
        <v>68</v>
      </c>
      <c r="F66" s="1" t="s">
        <v>19</v>
      </c>
      <c r="G66" s="1">
        <v>9</v>
      </c>
      <c r="H66" s="1" t="s">
        <v>69</v>
      </c>
      <c r="I66" s="1" t="s">
        <v>33</v>
      </c>
      <c r="J66" s="1">
        <v>1</v>
      </c>
      <c r="K66" s="1">
        <v>20.69</v>
      </c>
      <c r="L66" s="1">
        <v>5.5</v>
      </c>
      <c r="M66" s="16">
        <f t="shared" si="0"/>
        <v>19.552050000000001</v>
      </c>
      <c r="N66" s="1">
        <v>0</v>
      </c>
    </row>
    <row r="67" spans="1:14">
      <c r="A67" s="2">
        <v>45948</v>
      </c>
      <c r="B67" s="1">
        <v>1044</v>
      </c>
      <c r="C67" s="1">
        <v>10</v>
      </c>
      <c r="D67" s="1" t="s">
        <v>67</v>
      </c>
      <c r="E67" s="1" t="s">
        <v>68</v>
      </c>
      <c r="F67" s="1" t="s">
        <v>19</v>
      </c>
      <c r="G67" s="1">
        <v>38</v>
      </c>
      <c r="H67" s="1" t="s">
        <v>70</v>
      </c>
      <c r="I67" s="1" t="s">
        <v>27</v>
      </c>
      <c r="J67" s="1">
        <v>1</v>
      </c>
      <c r="K67" s="1">
        <v>25.14</v>
      </c>
      <c r="L67" s="1">
        <v>0</v>
      </c>
      <c r="M67" s="16">
        <f t="shared" ref="M67:M130" si="1">J67*K67*(1-L67/100)</f>
        <v>25.14</v>
      </c>
      <c r="N67" s="1">
        <v>0</v>
      </c>
    </row>
    <row r="68" spans="1:14">
      <c r="A68" s="2">
        <v>45948</v>
      </c>
      <c r="B68" s="1">
        <v>1022</v>
      </c>
      <c r="C68" s="1">
        <v>10</v>
      </c>
      <c r="D68" s="1" t="s">
        <v>67</v>
      </c>
      <c r="E68" s="1" t="s">
        <v>68</v>
      </c>
      <c r="F68" s="1" t="s">
        <v>19</v>
      </c>
      <c r="G68" s="1">
        <v>33</v>
      </c>
      <c r="H68" s="1" t="s">
        <v>42</v>
      </c>
      <c r="I68" s="1" t="s">
        <v>31</v>
      </c>
      <c r="J68" s="1">
        <v>1</v>
      </c>
      <c r="K68" s="1">
        <v>40.94</v>
      </c>
      <c r="L68" s="1">
        <v>0</v>
      </c>
      <c r="M68" s="16">
        <f t="shared" si="1"/>
        <v>40.94</v>
      </c>
      <c r="N68" s="1">
        <v>0</v>
      </c>
    </row>
    <row r="69" spans="1:14">
      <c r="A69" s="2">
        <v>45950</v>
      </c>
      <c r="B69" s="1">
        <v>1035</v>
      </c>
      <c r="C69" s="1">
        <v>12</v>
      </c>
      <c r="D69" s="1" t="s">
        <v>87</v>
      </c>
      <c r="E69" s="1" t="s">
        <v>25</v>
      </c>
      <c r="F69" s="1" t="s">
        <v>74</v>
      </c>
      <c r="G69" s="1">
        <v>3</v>
      </c>
      <c r="H69" s="1" t="s">
        <v>59</v>
      </c>
      <c r="I69" s="1" t="s">
        <v>21</v>
      </c>
      <c r="J69" s="1">
        <v>1</v>
      </c>
      <c r="K69" s="1">
        <v>25.47</v>
      </c>
      <c r="L69" s="1">
        <v>0</v>
      </c>
      <c r="M69" s="16">
        <f t="shared" si="1"/>
        <v>25.47</v>
      </c>
      <c r="N69" s="1">
        <v>0</v>
      </c>
    </row>
    <row r="70" spans="1:14">
      <c r="A70" s="2">
        <v>45954</v>
      </c>
      <c r="B70" s="1">
        <v>1044</v>
      </c>
      <c r="C70" s="1">
        <v>12</v>
      </c>
      <c r="D70" s="1" t="s">
        <v>87</v>
      </c>
      <c r="E70" s="1" t="s">
        <v>25</v>
      </c>
      <c r="F70" s="1" t="s">
        <v>74</v>
      </c>
      <c r="G70" s="1">
        <v>23</v>
      </c>
      <c r="H70" s="1" t="s">
        <v>98</v>
      </c>
      <c r="I70" s="1" t="s">
        <v>37</v>
      </c>
      <c r="J70" s="1">
        <v>2</v>
      </c>
      <c r="K70" s="1">
        <v>38.14</v>
      </c>
      <c r="L70" s="1">
        <v>0</v>
      </c>
      <c r="M70" s="16">
        <f t="shared" si="1"/>
        <v>76.28</v>
      </c>
      <c r="N70" s="1">
        <v>0</v>
      </c>
    </row>
    <row r="71" spans="1:14">
      <c r="A71" s="2">
        <v>45954</v>
      </c>
      <c r="B71" s="1">
        <v>1044</v>
      </c>
      <c r="C71" s="1">
        <v>12</v>
      </c>
      <c r="D71" s="1" t="s">
        <v>87</v>
      </c>
      <c r="E71" s="1" t="s">
        <v>25</v>
      </c>
      <c r="F71" s="1" t="s">
        <v>74</v>
      </c>
      <c r="G71" s="1">
        <v>6</v>
      </c>
      <c r="H71" s="1" t="s">
        <v>99</v>
      </c>
      <c r="I71" s="1" t="s">
        <v>21</v>
      </c>
      <c r="J71" s="1">
        <v>2</v>
      </c>
      <c r="K71" s="1">
        <v>70.47</v>
      </c>
      <c r="L71" s="1">
        <v>0</v>
      </c>
      <c r="M71" s="16">
        <f t="shared" si="1"/>
        <v>140.94</v>
      </c>
      <c r="N71" s="1">
        <v>0</v>
      </c>
    </row>
    <row r="72" spans="1:14">
      <c r="A72" s="2">
        <v>45954</v>
      </c>
      <c r="B72" s="1">
        <v>1044</v>
      </c>
      <c r="C72" s="1">
        <v>12</v>
      </c>
      <c r="D72" s="1" t="s">
        <v>87</v>
      </c>
      <c r="E72" s="1" t="s">
        <v>25</v>
      </c>
      <c r="F72" s="1" t="s">
        <v>74</v>
      </c>
      <c r="G72" s="1">
        <v>6</v>
      </c>
      <c r="H72" s="1" t="s">
        <v>99</v>
      </c>
      <c r="I72" s="1" t="s">
        <v>21</v>
      </c>
      <c r="J72" s="1">
        <v>2</v>
      </c>
      <c r="K72" s="1">
        <v>70.47</v>
      </c>
      <c r="L72" s="1">
        <v>0</v>
      </c>
      <c r="M72" s="16">
        <f t="shared" si="1"/>
        <v>140.94</v>
      </c>
      <c r="N72" s="1">
        <v>0</v>
      </c>
    </row>
    <row r="73" spans="1:14">
      <c r="A73" s="2">
        <v>45954</v>
      </c>
      <c r="B73" s="1">
        <v>1044</v>
      </c>
      <c r="C73" s="1">
        <v>12</v>
      </c>
      <c r="D73" s="1" t="s">
        <v>87</v>
      </c>
      <c r="E73" s="1" t="s">
        <v>25</v>
      </c>
      <c r="F73" s="1" t="s">
        <v>74</v>
      </c>
      <c r="G73" s="1">
        <v>39</v>
      </c>
      <c r="H73" s="1" t="s">
        <v>53</v>
      </c>
      <c r="I73" s="1" t="s">
        <v>27</v>
      </c>
      <c r="J73" s="1">
        <v>1</v>
      </c>
      <c r="K73" s="1">
        <v>39.979999999999997</v>
      </c>
      <c r="L73" s="1">
        <v>0</v>
      </c>
      <c r="M73" s="16">
        <f t="shared" si="1"/>
        <v>39.979999999999997</v>
      </c>
      <c r="N73" s="1">
        <v>0</v>
      </c>
    </row>
    <row r="74" spans="1:14">
      <c r="A74" s="2">
        <v>45960</v>
      </c>
      <c r="B74" s="1">
        <v>1054</v>
      </c>
      <c r="C74" s="1">
        <v>12</v>
      </c>
      <c r="D74" s="1" t="s">
        <v>87</v>
      </c>
      <c r="E74" s="1" t="s">
        <v>25</v>
      </c>
      <c r="F74" s="1" t="s">
        <v>74</v>
      </c>
      <c r="G74" s="1">
        <v>30</v>
      </c>
      <c r="H74" s="1" t="s">
        <v>57</v>
      </c>
      <c r="I74" s="1" t="s">
        <v>31</v>
      </c>
      <c r="J74" s="1">
        <v>1</v>
      </c>
      <c r="K74" s="1">
        <v>41.49</v>
      </c>
      <c r="L74" s="1">
        <v>0</v>
      </c>
      <c r="M74" s="16">
        <f t="shared" si="1"/>
        <v>41.49</v>
      </c>
      <c r="N74" s="1">
        <v>0</v>
      </c>
    </row>
    <row r="75" spans="1:14">
      <c r="A75" s="2">
        <v>45849</v>
      </c>
      <c r="B75" s="1">
        <v>1087</v>
      </c>
      <c r="C75" s="1">
        <v>12</v>
      </c>
      <c r="D75" s="1" t="s">
        <v>87</v>
      </c>
      <c r="E75" s="1" t="s">
        <v>25</v>
      </c>
      <c r="F75" s="1" t="s">
        <v>74</v>
      </c>
      <c r="G75" s="1">
        <v>7</v>
      </c>
      <c r="H75" s="1" t="s">
        <v>46</v>
      </c>
      <c r="I75" s="1" t="s">
        <v>21</v>
      </c>
      <c r="J75" s="1">
        <v>1</v>
      </c>
      <c r="K75" s="1">
        <v>79.39</v>
      </c>
      <c r="L75" s="1">
        <v>5</v>
      </c>
      <c r="M75" s="16">
        <f t="shared" si="1"/>
        <v>75.420500000000004</v>
      </c>
      <c r="N75" s="1">
        <v>0</v>
      </c>
    </row>
    <row r="76" spans="1:14">
      <c r="A76" s="2">
        <v>45849</v>
      </c>
      <c r="B76" s="1">
        <v>1044</v>
      </c>
      <c r="C76" s="1">
        <v>12</v>
      </c>
      <c r="D76" s="1" t="s">
        <v>87</v>
      </c>
      <c r="E76" s="1" t="s">
        <v>25</v>
      </c>
      <c r="F76" s="1" t="s">
        <v>74</v>
      </c>
      <c r="G76" s="1">
        <v>30</v>
      </c>
      <c r="H76" s="1" t="s">
        <v>57</v>
      </c>
      <c r="I76" s="1" t="s">
        <v>31</v>
      </c>
      <c r="J76" s="1">
        <v>1</v>
      </c>
      <c r="K76" s="1">
        <v>41.49</v>
      </c>
      <c r="L76" s="1">
        <v>10</v>
      </c>
      <c r="M76" s="16">
        <f t="shared" si="1"/>
        <v>37.341000000000001</v>
      </c>
      <c r="N76" s="1">
        <v>0</v>
      </c>
    </row>
    <row r="77" spans="1:14">
      <c r="A77" s="2">
        <v>45980</v>
      </c>
      <c r="B77" s="1">
        <v>1149</v>
      </c>
      <c r="C77" s="1">
        <v>12</v>
      </c>
      <c r="D77" s="1" t="s">
        <v>87</v>
      </c>
      <c r="E77" s="1" t="s">
        <v>25</v>
      </c>
      <c r="F77" s="1" t="s">
        <v>74</v>
      </c>
      <c r="G77" s="1">
        <v>32</v>
      </c>
      <c r="H77" s="1" t="s">
        <v>103</v>
      </c>
      <c r="I77" s="1" t="s">
        <v>31</v>
      </c>
      <c r="J77" s="1">
        <v>1</v>
      </c>
      <c r="K77" s="1">
        <v>61.06</v>
      </c>
      <c r="L77" s="1">
        <v>10</v>
      </c>
      <c r="M77" s="16">
        <f t="shared" si="1"/>
        <v>54.954000000000001</v>
      </c>
      <c r="N77" s="1">
        <v>0</v>
      </c>
    </row>
    <row r="78" spans="1:14">
      <c r="A78" s="2">
        <v>45980</v>
      </c>
      <c r="B78" s="1">
        <v>1149</v>
      </c>
      <c r="C78" s="1">
        <v>12</v>
      </c>
      <c r="D78" s="1" t="s">
        <v>87</v>
      </c>
      <c r="E78" s="1" t="s">
        <v>25</v>
      </c>
      <c r="F78" s="1" t="s">
        <v>74</v>
      </c>
      <c r="G78" s="1">
        <v>39</v>
      </c>
      <c r="H78" s="1" t="s">
        <v>36</v>
      </c>
      <c r="I78" s="1" t="s">
        <v>27</v>
      </c>
      <c r="J78" s="1">
        <v>1</v>
      </c>
      <c r="K78" s="1">
        <v>39.979999999999997</v>
      </c>
      <c r="L78" s="1">
        <v>0</v>
      </c>
      <c r="M78" s="16">
        <f t="shared" si="1"/>
        <v>39.979999999999997</v>
      </c>
      <c r="N78" s="1">
        <v>0</v>
      </c>
    </row>
    <row r="79" spans="1:14">
      <c r="A79" s="2">
        <v>45850</v>
      </c>
      <c r="B79" s="1">
        <v>1234</v>
      </c>
      <c r="C79" s="1">
        <v>12</v>
      </c>
      <c r="D79" s="1" t="s">
        <v>87</v>
      </c>
      <c r="E79" s="1" t="s">
        <v>25</v>
      </c>
      <c r="F79" s="1" t="s">
        <v>74</v>
      </c>
      <c r="G79" s="1">
        <v>16</v>
      </c>
      <c r="H79" s="1" t="s">
        <v>77</v>
      </c>
      <c r="I79" s="1" t="s">
        <v>17</v>
      </c>
      <c r="J79" s="1">
        <v>2</v>
      </c>
      <c r="K79" s="1">
        <v>11.81</v>
      </c>
      <c r="L79" s="1">
        <v>15</v>
      </c>
      <c r="M79" s="16">
        <f t="shared" si="1"/>
        <v>20.077000000000002</v>
      </c>
      <c r="N79" s="1">
        <v>0</v>
      </c>
    </row>
    <row r="80" spans="1:14">
      <c r="A80" s="2">
        <v>45942</v>
      </c>
      <c r="B80" s="1">
        <v>1246</v>
      </c>
      <c r="C80" s="1">
        <v>12</v>
      </c>
      <c r="D80" s="1" t="s">
        <v>87</v>
      </c>
      <c r="E80" s="1" t="s">
        <v>25</v>
      </c>
      <c r="F80" s="1" t="s">
        <v>74</v>
      </c>
      <c r="G80" s="1">
        <v>34</v>
      </c>
      <c r="H80" s="1" t="s">
        <v>130</v>
      </c>
      <c r="I80" s="1" t="s">
        <v>31</v>
      </c>
      <c r="J80" s="1">
        <v>2</v>
      </c>
      <c r="K80" s="1">
        <v>58.26</v>
      </c>
      <c r="L80" s="1">
        <v>0</v>
      </c>
      <c r="M80" s="16">
        <f t="shared" si="1"/>
        <v>116.52</v>
      </c>
      <c r="N80" s="1">
        <v>0</v>
      </c>
    </row>
    <row r="81" spans="1:14">
      <c r="A81" s="2">
        <v>46001</v>
      </c>
      <c r="B81" s="1">
        <v>1246</v>
      </c>
      <c r="C81" s="1">
        <v>12</v>
      </c>
      <c r="D81" s="1" t="s">
        <v>87</v>
      </c>
      <c r="E81" s="1" t="s">
        <v>25</v>
      </c>
      <c r="F81" s="1" t="s">
        <v>74</v>
      </c>
      <c r="G81" s="1">
        <v>6</v>
      </c>
      <c r="H81" s="1" t="s">
        <v>99</v>
      </c>
      <c r="I81" s="1" t="s">
        <v>21</v>
      </c>
      <c r="J81" s="1">
        <v>1</v>
      </c>
      <c r="K81" s="1">
        <v>70.47</v>
      </c>
      <c r="L81" s="1">
        <v>5</v>
      </c>
      <c r="M81" s="16">
        <f t="shared" si="1"/>
        <v>66.9465</v>
      </c>
      <c r="N81" s="1">
        <v>0</v>
      </c>
    </row>
    <row r="82" spans="1:14">
      <c r="A82" s="2">
        <v>46005</v>
      </c>
      <c r="B82" s="1">
        <v>1275</v>
      </c>
      <c r="C82" s="1">
        <v>12</v>
      </c>
      <c r="D82" s="1" t="s">
        <v>87</v>
      </c>
      <c r="E82" s="1" t="s">
        <v>25</v>
      </c>
      <c r="F82" s="1" t="s">
        <v>74</v>
      </c>
      <c r="G82" s="1">
        <v>1</v>
      </c>
      <c r="H82" s="1" t="s">
        <v>20</v>
      </c>
      <c r="I82" s="1" t="s">
        <v>21</v>
      </c>
      <c r="J82" s="1">
        <v>1</v>
      </c>
      <c r="K82" s="1">
        <v>47.45</v>
      </c>
      <c r="L82" s="1">
        <v>0</v>
      </c>
      <c r="M82" s="16">
        <f t="shared" si="1"/>
        <v>47.45</v>
      </c>
      <c r="N82" s="1">
        <v>0</v>
      </c>
    </row>
    <row r="83" spans="1:14">
      <c r="A83" s="2">
        <v>46005</v>
      </c>
      <c r="B83" s="1">
        <v>1275</v>
      </c>
      <c r="C83" s="1">
        <v>12</v>
      </c>
      <c r="D83" s="1" t="s">
        <v>87</v>
      </c>
      <c r="E83" s="1" t="s">
        <v>25</v>
      </c>
      <c r="F83" s="1" t="s">
        <v>74</v>
      </c>
      <c r="G83" s="1">
        <v>2</v>
      </c>
      <c r="H83" s="1" t="s">
        <v>80</v>
      </c>
      <c r="I83" s="1" t="s">
        <v>21</v>
      </c>
      <c r="J83" s="1">
        <v>1</v>
      </c>
      <c r="K83" s="1">
        <v>64.02</v>
      </c>
      <c r="L83" s="1">
        <v>0</v>
      </c>
      <c r="M83" s="16">
        <f t="shared" si="1"/>
        <v>64.02</v>
      </c>
      <c r="N83" s="1">
        <v>0</v>
      </c>
    </row>
    <row r="84" spans="1:14">
      <c r="A84" s="2">
        <v>46010</v>
      </c>
      <c r="B84" s="1">
        <v>1296</v>
      </c>
      <c r="C84" s="1">
        <v>12</v>
      </c>
      <c r="D84" s="1" t="s">
        <v>87</v>
      </c>
      <c r="E84" s="1" t="s">
        <v>25</v>
      </c>
      <c r="F84" s="1" t="s">
        <v>74</v>
      </c>
      <c r="G84" s="1">
        <v>21</v>
      </c>
      <c r="H84" s="1" t="s">
        <v>97</v>
      </c>
      <c r="I84" s="1" t="s">
        <v>17</v>
      </c>
      <c r="J84" s="1">
        <v>1</v>
      </c>
      <c r="K84" s="1">
        <v>49.37</v>
      </c>
      <c r="L84" s="1">
        <v>0</v>
      </c>
      <c r="M84" s="16">
        <f t="shared" si="1"/>
        <v>49.37</v>
      </c>
      <c r="N84" s="1">
        <v>0</v>
      </c>
    </row>
    <row r="85" spans="1:14">
      <c r="A85" s="2">
        <v>46013</v>
      </c>
      <c r="B85" s="1">
        <v>1306</v>
      </c>
      <c r="C85" s="1">
        <v>12</v>
      </c>
      <c r="D85" s="1" t="s">
        <v>87</v>
      </c>
      <c r="E85" s="1" t="s">
        <v>25</v>
      </c>
      <c r="F85" s="1" t="s">
        <v>74</v>
      </c>
      <c r="G85" s="1">
        <v>6</v>
      </c>
      <c r="H85" s="1" t="str">
        <f>IF(I85="Apparel","Joggers",IF(I85="Beauty","Vitamin C Serum",IF(I85="Electronics","Wireless Earbuds",IF(I85="Home","LED Lamp",IF(I85="Sports","Water Bottle",IF(I85="Toys","RC Car",""))))))</f>
        <v>Joggers</v>
      </c>
      <c r="I85" s="1" t="s">
        <v>21</v>
      </c>
      <c r="J85" s="1">
        <v>2</v>
      </c>
      <c r="K85" s="1">
        <v>70.47</v>
      </c>
      <c r="L85" s="1">
        <v>0</v>
      </c>
      <c r="M85" s="16">
        <f t="shared" si="1"/>
        <v>140.94</v>
      </c>
      <c r="N85" s="1">
        <v>0</v>
      </c>
    </row>
    <row r="86" spans="1:14">
      <c r="A86" s="2">
        <v>46020</v>
      </c>
      <c r="B86" s="1">
        <v>1347</v>
      </c>
      <c r="C86" s="1">
        <v>12</v>
      </c>
      <c r="D86" s="1" t="s">
        <v>87</v>
      </c>
      <c r="E86" s="1" t="s">
        <v>25</v>
      </c>
      <c r="F86" s="1" t="s">
        <v>74</v>
      </c>
      <c r="G86" s="1">
        <v>4</v>
      </c>
      <c r="H86" s="1" t="s">
        <v>92</v>
      </c>
      <c r="I86" s="1" t="s">
        <v>21</v>
      </c>
      <c r="J86" s="1">
        <v>3</v>
      </c>
      <c r="K86" s="1">
        <v>34.83</v>
      </c>
      <c r="L86" s="1">
        <v>10</v>
      </c>
      <c r="M86" s="16">
        <f t="shared" si="1"/>
        <v>94.040999999999997</v>
      </c>
      <c r="N86" s="1">
        <v>1</v>
      </c>
    </row>
    <row r="87" spans="1:14">
      <c r="A87" s="2">
        <v>46020</v>
      </c>
      <c r="B87" s="1">
        <v>1347</v>
      </c>
      <c r="C87" s="1">
        <v>12</v>
      </c>
      <c r="D87" s="1" t="s">
        <v>87</v>
      </c>
      <c r="E87" s="1" t="s">
        <v>25</v>
      </c>
      <c r="F87" s="1" t="s">
        <v>74</v>
      </c>
      <c r="G87" s="1">
        <v>21</v>
      </c>
      <c r="H87" s="1" t="s">
        <v>97</v>
      </c>
      <c r="I87" s="1" t="s">
        <v>17</v>
      </c>
      <c r="J87" s="1">
        <v>1</v>
      </c>
      <c r="K87" s="1">
        <v>49.37</v>
      </c>
      <c r="L87" s="1">
        <v>0</v>
      </c>
      <c r="M87" s="16">
        <f t="shared" si="1"/>
        <v>49.37</v>
      </c>
      <c r="N87" s="1">
        <v>0</v>
      </c>
    </row>
    <row r="88" spans="1:14">
      <c r="A88" s="2">
        <v>46016</v>
      </c>
      <c r="B88" s="1">
        <v>1347</v>
      </c>
      <c r="C88" s="1">
        <v>12</v>
      </c>
      <c r="D88" s="1" t="s">
        <v>87</v>
      </c>
      <c r="E88" s="1" t="s">
        <v>25</v>
      </c>
      <c r="F88" s="1" t="s">
        <v>74</v>
      </c>
      <c r="G88" s="1">
        <v>40</v>
      </c>
      <c r="H88" s="1" t="s">
        <v>53</v>
      </c>
      <c r="I88" s="1" t="s">
        <v>27</v>
      </c>
      <c r="J88" s="1">
        <v>3</v>
      </c>
      <c r="K88" s="1">
        <v>47.25</v>
      </c>
      <c r="L88" s="1">
        <v>5.5</v>
      </c>
      <c r="M88" s="16">
        <f t="shared" si="1"/>
        <v>133.95374999999999</v>
      </c>
      <c r="N88" s="1">
        <v>0</v>
      </c>
    </row>
    <row r="89" spans="1:14">
      <c r="A89" s="2">
        <v>46021</v>
      </c>
      <c r="B89" s="1">
        <v>1358</v>
      </c>
      <c r="C89" s="1">
        <v>12</v>
      </c>
      <c r="D89" s="1" t="s">
        <v>87</v>
      </c>
      <c r="E89" s="1" t="s">
        <v>25</v>
      </c>
      <c r="F89" s="1" t="s">
        <v>74</v>
      </c>
      <c r="G89" s="1">
        <v>25</v>
      </c>
      <c r="H89" s="1" t="s">
        <v>214</v>
      </c>
      <c r="I89" s="1" t="s">
        <v>37</v>
      </c>
      <c r="J89" s="1">
        <v>1</v>
      </c>
      <c r="K89" s="1">
        <v>17.78</v>
      </c>
      <c r="L89" s="1">
        <v>20</v>
      </c>
      <c r="M89" s="16">
        <f t="shared" si="1"/>
        <v>14.224000000000002</v>
      </c>
      <c r="N89" s="1">
        <v>0</v>
      </c>
    </row>
    <row r="90" spans="1:14">
      <c r="A90" s="2">
        <v>46021</v>
      </c>
      <c r="B90" s="1">
        <v>1358</v>
      </c>
      <c r="C90" s="1">
        <v>12</v>
      </c>
      <c r="D90" s="1" t="s">
        <v>87</v>
      </c>
      <c r="E90" s="1" t="s">
        <v>25</v>
      </c>
      <c r="F90" s="1" t="s">
        <v>74</v>
      </c>
      <c r="G90" s="1">
        <v>19</v>
      </c>
      <c r="H90" s="1" t="s">
        <v>64</v>
      </c>
      <c r="I90" s="1" t="s">
        <v>17</v>
      </c>
      <c r="J90" s="1">
        <v>3</v>
      </c>
      <c r="K90" s="1">
        <v>50.14</v>
      </c>
      <c r="L90" s="1">
        <v>10</v>
      </c>
      <c r="M90" s="16">
        <f t="shared" si="1"/>
        <v>135.37800000000001</v>
      </c>
      <c r="N90" s="1">
        <v>0</v>
      </c>
    </row>
    <row r="91" spans="1:14">
      <c r="A91" s="2">
        <v>46143</v>
      </c>
      <c r="B91" s="1">
        <v>1372</v>
      </c>
      <c r="C91" s="1">
        <v>12</v>
      </c>
      <c r="D91" s="1" t="s">
        <v>87</v>
      </c>
      <c r="E91" s="1" t="s">
        <v>25</v>
      </c>
      <c r="F91" s="1" t="s">
        <v>74</v>
      </c>
      <c r="G91" s="1">
        <v>5</v>
      </c>
      <c r="H91" s="1" t="s">
        <v>38</v>
      </c>
      <c r="I91" s="1" t="s">
        <v>21</v>
      </c>
      <c r="J91" s="1">
        <v>1</v>
      </c>
      <c r="K91" s="1">
        <v>42.53</v>
      </c>
      <c r="L91" s="1">
        <v>25</v>
      </c>
      <c r="M91" s="16">
        <f t="shared" si="1"/>
        <v>31.897500000000001</v>
      </c>
      <c r="N91" s="1">
        <v>0</v>
      </c>
    </row>
    <row r="92" spans="1:14">
      <c r="A92" s="2">
        <v>46235</v>
      </c>
      <c r="B92" s="1">
        <v>1378</v>
      </c>
      <c r="C92" s="1">
        <v>12</v>
      </c>
      <c r="D92" s="1" t="s">
        <v>87</v>
      </c>
      <c r="E92" s="1" t="s">
        <v>25</v>
      </c>
      <c r="F92" s="1" t="s">
        <v>74</v>
      </c>
      <c r="G92" s="1">
        <v>36</v>
      </c>
      <c r="H92" s="1" t="s">
        <v>62</v>
      </c>
      <c r="I92" s="1" t="s">
        <v>27</v>
      </c>
      <c r="J92" s="1">
        <v>1</v>
      </c>
      <c r="K92" s="1">
        <v>23.23</v>
      </c>
      <c r="L92" s="1">
        <v>0</v>
      </c>
      <c r="M92" s="16">
        <f t="shared" si="1"/>
        <v>23.23</v>
      </c>
      <c r="N92" s="1">
        <v>0</v>
      </c>
    </row>
    <row r="93" spans="1:14">
      <c r="A93" s="2">
        <v>46072</v>
      </c>
      <c r="B93" s="1">
        <v>1500</v>
      </c>
      <c r="C93" s="1">
        <v>12</v>
      </c>
      <c r="D93" s="1" t="s">
        <v>87</v>
      </c>
      <c r="E93" s="1" t="s">
        <v>25</v>
      </c>
      <c r="F93" s="1" t="s">
        <v>74</v>
      </c>
      <c r="G93" s="1">
        <v>9</v>
      </c>
      <c r="H93" s="1" t="s">
        <v>69</v>
      </c>
      <c r="I93" s="1" t="s">
        <v>33</v>
      </c>
      <c r="J93" s="1">
        <v>1</v>
      </c>
      <c r="K93" s="1">
        <v>38.869999999999997</v>
      </c>
      <c r="L93" s="1">
        <v>0</v>
      </c>
      <c r="M93" s="16">
        <f t="shared" si="1"/>
        <v>38.869999999999997</v>
      </c>
      <c r="N93" s="1">
        <v>0</v>
      </c>
    </row>
    <row r="94" spans="1:14">
      <c r="A94" s="2">
        <v>46072</v>
      </c>
      <c r="B94" s="1">
        <v>1500</v>
      </c>
      <c r="C94" s="1">
        <v>12</v>
      </c>
      <c r="D94" s="1" t="s">
        <v>87</v>
      </c>
      <c r="E94" s="1" t="s">
        <v>25</v>
      </c>
      <c r="F94" s="1" t="s">
        <v>74</v>
      </c>
      <c r="G94" s="1">
        <v>35</v>
      </c>
      <c r="H94" s="1" t="s">
        <v>104</v>
      </c>
      <c r="I94" s="1" t="s">
        <v>27</v>
      </c>
      <c r="J94" s="1">
        <v>1</v>
      </c>
      <c r="K94" s="1">
        <v>11.3</v>
      </c>
      <c r="L94" s="1">
        <v>5.5</v>
      </c>
      <c r="M94" s="16">
        <f t="shared" si="1"/>
        <v>10.6785</v>
      </c>
      <c r="N94" s="1">
        <v>0</v>
      </c>
    </row>
    <row r="95" spans="1:14">
      <c r="A95" s="2">
        <v>46077</v>
      </c>
      <c r="B95" s="1">
        <v>1527</v>
      </c>
      <c r="C95" s="1">
        <v>12</v>
      </c>
      <c r="D95" s="1" t="s">
        <v>87</v>
      </c>
      <c r="E95" s="1" t="s">
        <v>25</v>
      </c>
      <c r="F95" s="1" t="s">
        <v>74</v>
      </c>
      <c r="G95" s="1">
        <v>23</v>
      </c>
      <c r="H95" s="1" t="s">
        <v>98</v>
      </c>
      <c r="I95" s="1" t="s">
        <v>37</v>
      </c>
      <c r="J95" s="1">
        <v>2</v>
      </c>
      <c r="K95" s="1">
        <v>38.14</v>
      </c>
      <c r="L95" s="1">
        <v>0</v>
      </c>
      <c r="M95" s="16">
        <f t="shared" si="1"/>
        <v>76.28</v>
      </c>
      <c r="N95" s="1">
        <v>0</v>
      </c>
    </row>
    <row r="96" spans="1:14">
      <c r="A96" s="2">
        <v>46079</v>
      </c>
      <c r="B96" s="1">
        <v>1530</v>
      </c>
      <c r="C96" s="1">
        <v>12</v>
      </c>
      <c r="D96" s="1" t="s">
        <v>87</v>
      </c>
      <c r="E96" s="1" t="s">
        <v>25</v>
      </c>
      <c r="F96" s="1" t="s">
        <v>35</v>
      </c>
      <c r="G96" s="1">
        <v>1</v>
      </c>
      <c r="H96" s="1" t="s">
        <v>20</v>
      </c>
      <c r="I96" s="1" t="s">
        <v>21</v>
      </c>
      <c r="J96" s="1">
        <v>2</v>
      </c>
      <c r="K96" s="1">
        <v>47.45</v>
      </c>
      <c r="L96" s="1">
        <v>25</v>
      </c>
      <c r="M96" s="16">
        <f t="shared" si="1"/>
        <v>71.175000000000011</v>
      </c>
      <c r="N96" s="1">
        <v>0</v>
      </c>
    </row>
    <row r="97" spans="1:14">
      <c r="A97" s="2">
        <v>46079</v>
      </c>
      <c r="B97" s="1">
        <v>1530</v>
      </c>
      <c r="C97" s="1">
        <v>12</v>
      </c>
      <c r="D97" s="1" t="s">
        <v>87</v>
      </c>
      <c r="E97" s="1" t="s">
        <v>25</v>
      </c>
      <c r="F97" s="1" t="s">
        <v>74</v>
      </c>
      <c r="G97" s="1">
        <v>5</v>
      </c>
      <c r="H97" s="1" t="s">
        <v>38</v>
      </c>
      <c r="I97" s="1" t="s">
        <v>21</v>
      </c>
      <c r="J97" s="1">
        <v>2</v>
      </c>
      <c r="K97" s="1">
        <v>42.53</v>
      </c>
      <c r="L97" s="1">
        <v>25</v>
      </c>
      <c r="M97" s="16">
        <f t="shared" si="1"/>
        <v>63.795000000000002</v>
      </c>
      <c r="N97" s="1">
        <v>0</v>
      </c>
    </row>
    <row r="98" spans="1:14">
      <c r="A98" s="2">
        <v>46079</v>
      </c>
      <c r="B98" s="1">
        <v>1530</v>
      </c>
      <c r="C98" s="1">
        <v>12</v>
      </c>
      <c r="D98" s="1" t="s">
        <v>87</v>
      </c>
      <c r="E98" s="1" t="s">
        <v>25</v>
      </c>
      <c r="F98" s="1" t="s">
        <v>74</v>
      </c>
      <c r="G98" s="1">
        <v>32</v>
      </c>
      <c r="H98" s="1" t="str">
        <f>IF(I98="Apparel","Joggers",IF(I98="Beauty","Vitamin C Serum",IF(I98="Electronics","Wireless Earbuds",IF(I98="Home","LED Lamp",IF(I98="Sports","Water Bottle",IF(I98="Toys","RC Car",""))))))</f>
        <v>Water Bottle</v>
      </c>
      <c r="I98" s="1" t="s">
        <v>31</v>
      </c>
      <c r="J98" s="1">
        <v>2</v>
      </c>
      <c r="K98" s="1">
        <v>61.06</v>
      </c>
      <c r="L98" s="1">
        <v>25</v>
      </c>
      <c r="M98" s="16">
        <f t="shared" si="1"/>
        <v>91.59</v>
      </c>
      <c r="N98" s="1">
        <v>0</v>
      </c>
    </row>
    <row r="99" spans="1:14">
      <c r="A99" s="2">
        <v>46020</v>
      </c>
      <c r="B99" s="1">
        <v>1347</v>
      </c>
      <c r="C99" s="1">
        <f>_xlfn.XLOOKUP(D99,'Customer Data'!B:B,'Customer Data'!A:A,"Not Found")</f>
        <v>12</v>
      </c>
      <c r="D99" s="1" t="s">
        <v>87</v>
      </c>
      <c r="E99" s="1" t="s">
        <v>25</v>
      </c>
      <c r="F99" s="1" t="s">
        <v>74</v>
      </c>
      <c r="G99" s="1">
        <v>21</v>
      </c>
      <c r="H99" s="1" t="s">
        <v>97</v>
      </c>
      <c r="I99" s="1" t="s">
        <v>17</v>
      </c>
      <c r="J99" s="1">
        <v>1</v>
      </c>
      <c r="K99" s="1">
        <v>49.37</v>
      </c>
      <c r="L99" s="1">
        <v>0</v>
      </c>
      <c r="M99" s="16">
        <f t="shared" si="1"/>
        <v>49.37</v>
      </c>
      <c r="N99" s="1">
        <v>0</v>
      </c>
    </row>
    <row r="100" spans="1:14">
      <c r="A100" s="2">
        <v>46235</v>
      </c>
      <c r="B100" s="1">
        <v>1379</v>
      </c>
      <c r="C100" s="1">
        <v>13</v>
      </c>
      <c r="D100" s="1" t="s">
        <v>174</v>
      </c>
      <c r="E100" s="1" t="s">
        <v>68</v>
      </c>
      <c r="F100" s="1" t="s">
        <v>74</v>
      </c>
      <c r="G100" s="1">
        <v>40</v>
      </c>
      <c r="H100" s="1" t="s">
        <v>53</v>
      </c>
      <c r="I100" s="1" t="s">
        <v>27</v>
      </c>
      <c r="J100" s="1">
        <v>1</v>
      </c>
      <c r="K100" s="1">
        <v>47.25</v>
      </c>
      <c r="L100" s="1">
        <v>0</v>
      </c>
      <c r="M100" s="16">
        <f t="shared" si="1"/>
        <v>47.25</v>
      </c>
      <c r="N100" s="1">
        <v>0</v>
      </c>
    </row>
    <row r="101" spans="1:14">
      <c r="A101" s="2">
        <v>46113</v>
      </c>
      <c r="B101" s="1">
        <v>1369</v>
      </c>
      <c r="C101" s="1">
        <v>14</v>
      </c>
      <c r="D101" s="1" t="s">
        <v>121</v>
      </c>
      <c r="E101" s="1" t="s">
        <v>40</v>
      </c>
      <c r="F101" s="1" t="s">
        <v>55</v>
      </c>
      <c r="G101" s="1">
        <v>7</v>
      </c>
      <c r="H101" s="1" t="s">
        <v>46</v>
      </c>
      <c r="I101" s="1" t="s">
        <v>21</v>
      </c>
      <c r="J101" s="1">
        <v>1</v>
      </c>
      <c r="K101" s="1">
        <v>79.39</v>
      </c>
      <c r="L101" s="1">
        <v>0</v>
      </c>
      <c r="M101" s="16">
        <f t="shared" si="1"/>
        <v>79.39</v>
      </c>
      <c r="N101" s="1">
        <v>0</v>
      </c>
    </row>
    <row r="102" spans="1:14">
      <c r="A102" s="2">
        <v>46113</v>
      </c>
      <c r="B102" s="1">
        <v>1369</v>
      </c>
      <c r="C102" s="1">
        <v>14</v>
      </c>
      <c r="D102" s="1" t="s">
        <v>121</v>
      </c>
      <c r="E102" s="1" t="s">
        <v>40</v>
      </c>
      <c r="F102" s="1" t="s">
        <v>55</v>
      </c>
      <c r="G102" s="1">
        <v>8</v>
      </c>
      <c r="H102" s="1" t="s">
        <v>84</v>
      </c>
      <c r="I102" s="1" t="s">
        <v>21</v>
      </c>
      <c r="J102" s="1">
        <v>1</v>
      </c>
      <c r="K102" s="1">
        <v>16.72</v>
      </c>
      <c r="L102" s="1">
        <v>0</v>
      </c>
      <c r="M102" s="16">
        <f t="shared" si="1"/>
        <v>16.72</v>
      </c>
      <c r="N102" s="1">
        <v>0</v>
      </c>
    </row>
    <row r="103" spans="1:14">
      <c r="A103" s="2">
        <v>46074</v>
      </c>
      <c r="B103" s="1">
        <v>1511</v>
      </c>
      <c r="C103" s="1">
        <v>14</v>
      </c>
      <c r="D103" s="1" t="s">
        <v>121</v>
      </c>
      <c r="E103" s="1" t="s">
        <v>40</v>
      </c>
      <c r="F103" s="1" t="s">
        <v>55</v>
      </c>
      <c r="G103" s="1">
        <v>28</v>
      </c>
      <c r="H103" s="1" t="s">
        <v>51</v>
      </c>
      <c r="I103" s="1" t="s">
        <v>37</v>
      </c>
      <c r="J103" s="1">
        <v>2</v>
      </c>
      <c r="K103" s="1">
        <v>21.24</v>
      </c>
      <c r="L103" s="1">
        <v>0</v>
      </c>
      <c r="M103" s="16">
        <f t="shared" si="1"/>
        <v>42.48</v>
      </c>
      <c r="N103" s="1">
        <v>0</v>
      </c>
    </row>
    <row r="104" spans="1:14">
      <c r="A104" s="2">
        <v>46016</v>
      </c>
      <c r="B104" s="1">
        <v>1511</v>
      </c>
      <c r="C104" s="1">
        <v>14</v>
      </c>
      <c r="D104" s="1" t="s">
        <v>121</v>
      </c>
      <c r="E104" s="1" t="s">
        <v>40</v>
      </c>
      <c r="F104" s="1" t="s">
        <v>55</v>
      </c>
      <c r="G104" s="1">
        <v>29</v>
      </c>
      <c r="H104" s="1" t="s">
        <v>96</v>
      </c>
      <c r="I104" s="1" t="s">
        <v>31</v>
      </c>
      <c r="J104" s="1">
        <v>2</v>
      </c>
      <c r="K104" s="1">
        <v>45.67</v>
      </c>
      <c r="L104" s="1">
        <v>0</v>
      </c>
      <c r="M104" s="16">
        <f t="shared" si="1"/>
        <v>91.34</v>
      </c>
      <c r="N104" s="1">
        <v>0</v>
      </c>
    </row>
    <row r="105" spans="1:14">
      <c r="A105" s="2">
        <v>46266</v>
      </c>
      <c r="B105" s="1">
        <v>1384</v>
      </c>
      <c r="C105" s="1">
        <f>_xlfn.XLOOKUP(D105,'Customer Data'!B:B,'Customer Data'!A:A,"Not Found")</f>
        <v>14</v>
      </c>
      <c r="D105" s="1" t="s">
        <v>121</v>
      </c>
      <c r="E105" s="1" t="s">
        <v>40</v>
      </c>
      <c r="F105" s="1" t="s">
        <v>41</v>
      </c>
      <c r="G105" s="1">
        <v>12</v>
      </c>
      <c r="H105" s="1" t="s">
        <v>215</v>
      </c>
      <c r="I105" s="1" t="s">
        <v>33</v>
      </c>
      <c r="J105" s="1">
        <v>1</v>
      </c>
      <c r="K105" s="1">
        <v>8.4499999999999993</v>
      </c>
      <c r="L105" s="1">
        <v>0</v>
      </c>
      <c r="M105" s="16">
        <f t="shared" si="1"/>
        <v>8.4499999999999993</v>
      </c>
      <c r="N105" s="1">
        <v>0</v>
      </c>
    </row>
    <row r="106" spans="1:14">
      <c r="A106" s="2">
        <v>46236</v>
      </c>
      <c r="B106" s="1">
        <v>1465</v>
      </c>
      <c r="C106" s="1">
        <v>15</v>
      </c>
      <c r="D106" s="1" t="s">
        <v>183</v>
      </c>
      <c r="E106" s="1" t="s">
        <v>68</v>
      </c>
      <c r="F106" s="1" t="s">
        <v>35</v>
      </c>
      <c r="G106" s="1">
        <v>5</v>
      </c>
      <c r="H106" s="1" t="s">
        <v>38</v>
      </c>
      <c r="I106" s="1" t="s">
        <v>21</v>
      </c>
      <c r="J106" s="1">
        <v>3</v>
      </c>
      <c r="K106" s="1">
        <v>42.53</v>
      </c>
      <c r="L106" s="1">
        <v>0</v>
      </c>
      <c r="M106" s="16">
        <f t="shared" si="1"/>
        <v>127.59</v>
      </c>
      <c r="N106" s="1">
        <v>0</v>
      </c>
    </row>
    <row r="107" spans="1:14">
      <c r="A107" s="2">
        <v>46236</v>
      </c>
      <c r="B107" s="1">
        <v>1465</v>
      </c>
      <c r="C107" s="1">
        <v>15</v>
      </c>
      <c r="D107" s="1" t="s">
        <v>183</v>
      </c>
      <c r="E107" s="1" t="s">
        <v>68</v>
      </c>
      <c r="F107" s="1" t="s">
        <v>35</v>
      </c>
      <c r="G107" s="1">
        <v>13</v>
      </c>
      <c r="H107" s="1" t="s">
        <v>45</v>
      </c>
      <c r="I107" s="1" t="s">
        <v>33</v>
      </c>
      <c r="J107" s="1">
        <v>2</v>
      </c>
      <c r="K107" s="1">
        <v>54.9</v>
      </c>
      <c r="L107" s="1">
        <v>0</v>
      </c>
      <c r="M107" s="16">
        <f t="shared" si="1"/>
        <v>109.8</v>
      </c>
      <c r="N107" s="1">
        <v>0</v>
      </c>
    </row>
    <row r="108" spans="1:14">
      <c r="A108" s="2">
        <v>46236</v>
      </c>
      <c r="B108" s="1">
        <v>1465</v>
      </c>
      <c r="C108" s="1">
        <v>15</v>
      </c>
      <c r="D108" s="1" t="s">
        <v>183</v>
      </c>
      <c r="E108" s="1" t="s">
        <v>68</v>
      </c>
      <c r="F108" s="1" t="s">
        <v>35</v>
      </c>
      <c r="G108" s="1">
        <v>29</v>
      </c>
      <c r="H108" s="1" t="s">
        <v>96</v>
      </c>
      <c r="I108" s="1" t="s">
        <v>31</v>
      </c>
      <c r="J108" s="1">
        <v>2</v>
      </c>
      <c r="K108" s="1">
        <v>45.67</v>
      </c>
      <c r="L108" s="1">
        <v>0</v>
      </c>
      <c r="M108" s="16">
        <f t="shared" si="1"/>
        <v>91.34</v>
      </c>
      <c r="N108" s="1">
        <v>0</v>
      </c>
    </row>
    <row r="109" spans="1:14">
      <c r="A109" s="2">
        <v>45940</v>
      </c>
      <c r="B109" s="1">
        <v>1001</v>
      </c>
      <c r="C109" s="1">
        <v>16</v>
      </c>
      <c r="D109" s="1" t="s">
        <v>13</v>
      </c>
      <c r="E109" s="1" t="s">
        <v>14</v>
      </c>
      <c r="F109" s="1" t="s">
        <v>15</v>
      </c>
      <c r="G109" s="1">
        <v>20</v>
      </c>
      <c r="H109" s="1" t="s">
        <v>16</v>
      </c>
      <c r="I109" s="1" t="s">
        <v>17</v>
      </c>
      <c r="J109" s="1">
        <v>1</v>
      </c>
      <c r="K109" s="1">
        <v>32.76</v>
      </c>
      <c r="L109" s="1">
        <v>5.5</v>
      </c>
      <c r="M109" s="16">
        <f t="shared" si="1"/>
        <v>30.958199999999998</v>
      </c>
      <c r="N109" s="1">
        <v>0</v>
      </c>
    </row>
    <row r="110" spans="1:14">
      <c r="A110" s="2">
        <v>45961</v>
      </c>
      <c r="B110" s="1">
        <v>1057</v>
      </c>
      <c r="C110" s="1">
        <v>16</v>
      </c>
      <c r="D110" s="1" t="s">
        <v>13</v>
      </c>
      <c r="E110" s="1" t="s">
        <v>14</v>
      </c>
      <c r="F110" s="1" t="s">
        <v>15</v>
      </c>
      <c r="G110" s="1">
        <v>10</v>
      </c>
      <c r="H110" s="1" t="s">
        <v>32</v>
      </c>
      <c r="I110" s="1" t="s">
        <v>33</v>
      </c>
      <c r="J110" s="1">
        <v>1</v>
      </c>
      <c r="K110" s="1">
        <v>62.68</v>
      </c>
      <c r="L110" s="1">
        <v>20</v>
      </c>
      <c r="M110" s="16">
        <f t="shared" si="1"/>
        <v>50.144000000000005</v>
      </c>
      <c r="N110" s="1">
        <v>0</v>
      </c>
    </row>
    <row r="111" spans="1:14">
      <c r="A111" s="2">
        <v>45911</v>
      </c>
      <c r="B111" s="1">
        <v>1094</v>
      </c>
      <c r="C111" s="1">
        <v>16</v>
      </c>
      <c r="D111" s="1" t="s">
        <v>13</v>
      </c>
      <c r="E111" s="1" t="s">
        <v>14</v>
      </c>
      <c r="F111" s="1" t="s">
        <v>15</v>
      </c>
      <c r="G111" s="1">
        <v>22</v>
      </c>
      <c r="H111" s="1" t="s">
        <v>75</v>
      </c>
      <c r="I111" s="1" t="s">
        <v>17</v>
      </c>
      <c r="J111" s="1">
        <v>1</v>
      </c>
      <c r="K111" s="1">
        <v>29.98</v>
      </c>
      <c r="L111" s="1">
        <v>0</v>
      </c>
      <c r="M111" s="16">
        <f t="shared" si="1"/>
        <v>29.98</v>
      </c>
      <c r="N111" s="1">
        <v>0</v>
      </c>
    </row>
    <row r="112" spans="1:14">
      <c r="A112" s="2">
        <v>45911</v>
      </c>
      <c r="B112" s="1">
        <v>1094</v>
      </c>
      <c r="C112" s="1">
        <v>16</v>
      </c>
      <c r="D112" s="1" t="s">
        <v>13</v>
      </c>
      <c r="E112" s="1" t="s">
        <v>14</v>
      </c>
      <c r="F112" s="1" t="s">
        <v>15</v>
      </c>
      <c r="G112" s="1">
        <v>3</v>
      </c>
      <c r="H112" s="1" t="s">
        <v>59</v>
      </c>
      <c r="I112" s="1" t="s">
        <v>21</v>
      </c>
      <c r="J112" s="1">
        <v>1</v>
      </c>
      <c r="K112" s="1">
        <v>25.47</v>
      </c>
      <c r="L112" s="1">
        <v>10</v>
      </c>
      <c r="M112" s="16">
        <f t="shared" si="1"/>
        <v>22.922999999999998</v>
      </c>
      <c r="N112" s="1">
        <v>0</v>
      </c>
    </row>
    <row r="113" spans="1:14">
      <c r="A113" s="2">
        <v>45911</v>
      </c>
      <c r="B113" s="1">
        <v>1094</v>
      </c>
      <c r="C113" s="1">
        <v>16</v>
      </c>
      <c r="D113" s="1" t="s">
        <v>13</v>
      </c>
      <c r="E113" s="1" t="s">
        <v>14</v>
      </c>
      <c r="F113" s="1" t="s">
        <v>15</v>
      </c>
      <c r="G113" s="1">
        <v>11</v>
      </c>
      <c r="H113" s="1" t="s">
        <v>65</v>
      </c>
      <c r="I113" s="1" t="s">
        <v>33</v>
      </c>
      <c r="J113" s="1">
        <v>2</v>
      </c>
      <c r="K113" s="1">
        <v>58.35</v>
      </c>
      <c r="L113" s="1">
        <v>0</v>
      </c>
      <c r="M113" s="16">
        <f t="shared" si="1"/>
        <v>116.7</v>
      </c>
      <c r="N113" s="1">
        <v>0</v>
      </c>
    </row>
    <row r="114" spans="1:14">
      <c r="A114" s="2">
        <v>45911</v>
      </c>
      <c r="B114" s="1">
        <v>1044</v>
      </c>
      <c r="C114" s="1">
        <v>16</v>
      </c>
      <c r="D114" s="1" t="s">
        <v>13</v>
      </c>
      <c r="E114" s="1" t="s">
        <v>14</v>
      </c>
      <c r="F114" s="1" t="s">
        <v>15</v>
      </c>
      <c r="G114" s="1">
        <v>18</v>
      </c>
      <c r="H114" s="1" t="s">
        <v>23</v>
      </c>
      <c r="I114" s="1" t="s">
        <v>17</v>
      </c>
      <c r="J114" s="1">
        <v>1</v>
      </c>
      <c r="K114" s="1">
        <v>44.01</v>
      </c>
      <c r="L114" s="1">
        <v>5.5</v>
      </c>
      <c r="M114" s="16">
        <f t="shared" si="1"/>
        <v>41.589449999999999</v>
      </c>
      <c r="N114" s="1">
        <v>0</v>
      </c>
    </row>
    <row r="115" spans="1:14">
      <c r="A115" s="2">
        <v>45982</v>
      </c>
      <c r="B115" s="1">
        <v>1157</v>
      </c>
      <c r="C115" s="1">
        <v>16</v>
      </c>
      <c r="D115" s="1" t="s">
        <v>13</v>
      </c>
      <c r="E115" s="1" t="s">
        <v>14</v>
      </c>
      <c r="F115" s="1" t="s">
        <v>15</v>
      </c>
      <c r="G115" s="1">
        <v>28</v>
      </c>
      <c r="H115" s="1" t="s">
        <v>51</v>
      </c>
      <c r="I115" s="1" t="s">
        <v>37</v>
      </c>
      <c r="J115" s="1">
        <v>1</v>
      </c>
      <c r="K115" s="1">
        <v>21.24</v>
      </c>
      <c r="L115" s="1">
        <v>5</v>
      </c>
      <c r="M115" s="16">
        <f t="shared" si="1"/>
        <v>20.177999999999997</v>
      </c>
      <c r="N115" s="1">
        <v>0</v>
      </c>
    </row>
    <row r="116" spans="1:14">
      <c r="A116" s="2">
        <v>45982</v>
      </c>
      <c r="B116" s="1">
        <v>1157</v>
      </c>
      <c r="C116" s="1">
        <v>16</v>
      </c>
      <c r="D116" s="1" t="s">
        <v>13</v>
      </c>
      <c r="E116" s="1" t="s">
        <v>14</v>
      </c>
      <c r="F116" s="1" t="s">
        <v>15</v>
      </c>
      <c r="G116" s="1">
        <v>37</v>
      </c>
      <c r="H116" s="1" t="s">
        <v>26</v>
      </c>
      <c r="I116" s="1" t="s">
        <v>27</v>
      </c>
      <c r="J116" s="1">
        <v>1</v>
      </c>
      <c r="K116" s="1">
        <v>52.67</v>
      </c>
      <c r="L116" s="1">
        <v>10</v>
      </c>
      <c r="M116" s="16">
        <f t="shared" si="1"/>
        <v>47.403000000000006</v>
      </c>
      <c r="N116" s="1">
        <v>0</v>
      </c>
    </row>
    <row r="117" spans="1:14">
      <c r="A117" s="2">
        <v>45982</v>
      </c>
      <c r="B117" s="1">
        <v>1157</v>
      </c>
      <c r="C117" s="1">
        <v>16</v>
      </c>
      <c r="D117" s="1" t="s">
        <v>13</v>
      </c>
      <c r="E117" s="1" t="s">
        <v>14</v>
      </c>
      <c r="F117" s="1" t="s">
        <v>15</v>
      </c>
      <c r="G117" s="1">
        <v>14</v>
      </c>
      <c r="H117" s="1" t="s">
        <v>105</v>
      </c>
      <c r="I117" s="1" t="s">
        <v>33</v>
      </c>
      <c r="J117" s="1">
        <v>1</v>
      </c>
      <c r="K117" s="1">
        <v>15.36</v>
      </c>
      <c r="L117" s="1">
        <v>10</v>
      </c>
      <c r="M117" s="16">
        <f t="shared" si="1"/>
        <v>13.824</v>
      </c>
      <c r="N117" s="1">
        <v>0</v>
      </c>
    </row>
    <row r="118" spans="1:14">
      <c r="A118" s="2">
        <v>45982</v>
      </c>
      <c r="B118" s="1">
        <v>1157</v>
      </c>
      <c r="C118" s="1">
        <v>16</v>
      </c>
      <c r="D118" s="1" t="s">
        <v>13</v>
      </c>
      <c r="E118" s="1" t="s">
        <v>14</v>
      </c>
      <c r="F118" s="1" t="s">
        <v>15</v>
      </c>
      <c r="G118" s="1">
        <v>40</v>
      </c>
      <c r="H118" s="1" t="s">
        <v>53</v>
      </c>
      <c r="I118" s="1" t="s">
        <v>27</v>
      </c>
      <c r="J118" s="1">
        <v>1</v>
      </c>
      <c r="K118" s="1">
        <v>47.25</v>
      </c>
      <c r="L118" s="1">
        <v>10</v>
      </c>
      <c r="M118" s="16">
        <f t="shared" si="1"/>
        <v>42.524999999999999</v>
      </c>
      <c r="N118" s="1">
        <v>0</v>
      </c>
    </row>
    <row r="119" spans="1:14">
      <c r="A119" s="2">
        <v>45912</v>
      </c>
      <c r="B119" s="1">
        <v>1242</v>
      </c>
      <c r="C119" s="1">
        <v>16</v>
      </c>
      <c r="D119" s="1" t="s">
        <v>13</v>
      </c>
      <c r="E119" s="1" t="s">
        <v>14</v>
      </c>
      <c r="F119" s="1" t="s">
        <v>15</v>
      </c>
      <c r="G119" s="1">
        <v>1</v>
      </c>
      <c r="H119" s="1" t="s">
        <v>20</v>
      </c>
      <c r="I119" s="1" t="s">
        <v>21</v>
      </c>
      <c r="J119" s="1">
        <v>1</v>
      </c>
      <c r="K119" s="1">
        <v>47.45</v>
      </c>
      <c r="L119" s="1">
        <v>25</v>
      </c>
      <c r="M119" s="16">
        <f t="shared" si="1"/>
        <v>35.587500000000006</v>
      </c>
      <c r="N119" s="1">
        <v>0</v>
      </c>
    </row>
    <row r="120" spans="1:14">
      <c r="A120" s="2">
        <v>45912</v>
      </c>
      <c r="B120" s="1">
        <v>1242</v>
      </c>
      <c r="C120" s="1">
        <v>16</v>
      </c>
      <c r="D120" s="1" t="s">
        <v>13</v>
      </c>
      <c r="E120" s="1" t="s">
        <v>14</v>
      </c>
      <c r="F120" s="1" t="s">
        <v>15</v>
      </c>
      <c r="G120" s="1">
        <v>8</v>
      </c>
      <c r="H120" s="1" t="s">
        <v>84</v>
      </c>
      <c r="I120" s="1" t="s">
        <v>21</v>
      </c>
      <c r="J120" s="1">
        <v>1</v>
      </c>
      <c r="K120" s="1">
        <v>16.72</v>
      </c>
      <c r="L120" s="1">
        <v>25</v>
      </c>
      <c r="M120" s="16">
        <f t="shared" si="1"/>
        <v>12.54</v>
      </c>
      <c r="N120" s="1">
        <v>0</v>
      </c>
    </row>
    <row r="121" spans="1:14">
      <c r="A121" s="2">
        <v>45912</v>
      </c>
      <c r="B121" s="1">
        <v>1242</v>
      </c>
      <c r="C121" s="1">
        <v>16</v>
      </c>
      <c r="D121" s="1" t="s">
        <v>13</v>
      </c>
      <c r="E121" s="1" t="s">
        <v>14</v>
      </c>
      <c r="F121" s="1" t="s">
        <v>15</v>
      </c>
      <c r="G121" s="1">
        <v>39</v>
      </c>
      <c r="H121" s="1" t="s">
        <v>36</v>
      </c>
      <c r="I121" s="1" t="s">
        <v>160</v>
      </c>
      <c r="J121" s="1">
        <v>1</v>
      </c>
      <c r="K121" s="1">
        <v>39.979999999999997</v>
      </c>
      <c r="L121" s="1">
        <v>10</v>
      </c>
      <c r="M121" s="16">
        <f t="shared" si="1"/>
        <v>35.981999999999999</v>
      </c>
      <c r="N121" s="1">
        <v>0</v>
      </c>
    </row>
    <row r="122" spans="1:14">
      <c r="A122" s="2">
        <v>45912</v>
      </c>
      <c r="B122" s="1">
        <v>1242</v>
      </c>
      <c r="C122" s="1">
        <v>16</v>
      </c>
      <c r="D122" s="1" t="s">
        <v>13</v>
      </c>
      <c r="E122" s="1" t="s">
        <v>14</v>
      </c>
      <c r="F122" s="1" t="s">
        <v>15</v>
      </c>
      <c r="G122" s="1">
        <v>11</v>
      </c>
      <c r="H122" s="1" t="s">
        <v>65</v>
      </c>
      <c r="I122" s="1" t="s">
        <v>33</v>
      </c>
      <c r="J122" s="1">
        <v>1</v>
      </c>
      <c r="K122" s="1">
        <v>58.35</v>
      </c>
      <c r="L122" s="1">
        <v>10</v>
      </c>
      <c r="M122" s="16">
        <f t="shared" si="1"/>
        <v>52.515000000000001</v>
      </c>
      <c r="N122" s="1">
        <v>0</v>
      </c>
    </row>
    <row r="123" spans="1:14">
      <c r="A123" s="2">
        <v>46009</v>
      </c>
      <c r="B123" s="1">
        <v>1292</v>
      </c>
      <c r="C123" s="1">
        <v>16</v>
      </c>
      <c r="D123" s="1" t="s">
        <v>13</v>
      </c>
      <c r="E123" s="1" t="s">
        <v>14</v>
      </c>
      <c r="F123" s="1" t="s">
        <v>15</v>
      </c>
      <c r="G123" s="1">
        <v>27</v>
      </c>
      <c r="H123" s="1" t="s">
        <v>89</v>
      </c>
      <c r="I123" s="1" t="s">
        <v>37</v>
      </c>
      <c r="J123" s="1">
        <v>1</v>
      </c>
      <c r="K123" s="1">
        <v>27.3</v>
      </c>
      <c r="L123" s="1">
        <v>0</v>
      </c>
      <c r="M123" s="16">
        <f t="shared" si="1"/>
        <v>27.3</v>
      </c>
      <c r="N123" s="1">
        <v>0</v>
      </c>
    </row>
    <row r="124" spans="1:14">
      <c r="A124" s="2">
        <v>46009</v>
      </c>
      <c r="B124" s="1">
        <v>1292</v>
      </c>
      <c r="C124" s="1">
        <v>16</v>
      </c>
      <c r="D124" s="1" t="s">
        <v>13</v>
      </c>
      <c r="E124" s="1" t="s">
        <v>14</v>
      </c>
      <c r="F124" s="1" t="s">
        <v>15</v>
      </c>
      <c r="G124" s="1">
        <v>4</v>
      </c>
      <c r="H124" s="1" t="s">
        <v>92</v>
      </c>
      <c r="I124" s="1" t="s">
        <v>21</v>
      </c>
      <c r="J124" s="1">
        <v>1</v>
      </c>
      <c r="K124" s="1">
        <v>34.83</v>
      </c>
      <c r="L124" s="1">
        <v>5.5</v>
      </c>
      <c r="M124" s="16">
        <f t="shared" si="1"/>
        <v>32.914349999999999</v>
      </c>
      <c r="N124" s="1">
        <v>0</v>
      </c>
    </row>
    <row r="125" spans="1:14">
      <c r="A125" s="2">
        <v>46009</v>
      </c>
      <c r="B125" s="1">
        <v>1292</v>
      </c>
      <c r="C125" s="1">
        <v>16</v>
      </c>
      <c r="D125" s="1" t="s">
        <v>13</v>
      </c>
      <c r="E125" s="1" t="s">
        <v>14</v>
      </c>
      <c r="F125" s="1" t="s">
        <v>15</v>
      </c>
      <c r="G125" s="1">
        <v>18</v>
      </c>
      <c r="H125" s="1" t="s">
        <v>23</v>
      </c>
      <c r="I125" s="1" t="s">
        <v>17</v>
      </c>
      <c r="J125" s="1">
        <v>1</v>
      </c>
      <c r="K125" s="1">
        <v>44.01</v>
      </c>
      <c r="L125" s="1">
        <v>0</v>
      </c>
      <c r="M125" s="16">
        <f t="shared" si="1"/>
        <v>44.01</v>
      </c>
      <c r="N125" s="1">
        <v>0</v>
      </c>
    </row>
    <row r="126" spans="1:14">
      <c r="A126" s="2">
        <v>46357</v>
      </c>
      <c r="B126" s="1">
        <v>1394</v>
      </c>
      <c r="C126" s="1">
        <v>16</v>
      </c>
      <c r="D126" s="1" t="s">
        <v>13</v>
      </c>
      <c r="E126" s="1" t="s">
        <v>14</v>
      </c>
      <c r="F126" s="1" t="s">
        <v>15</v>
      </c>
      <c r="G126" s="1">
        <v>18</v>
      </c>
      <c r="H126" s="1" t="s">
        <v>23</v>
      </c>
      <c r="I126" s="1" t="s">
        <v>17</v>
      </c>
      <c r="J126" s="1">
        <v>2</v>
      </c>
      <c r="K126" s="1">
        <v>44.01</v>
      </c>
      <c r="L126" s="1">
        <v>10</v>
      </c>
      <c r="M126" s="16">
        <f t="shared" si="1"/>
        <v>79.218000000000004</v>
      </c>
      <c r="N126" s="1">
        <v>0</v>
      </c>
    </row>
    <row r="127" spans="1:14">
      <c r="A127" s="2">
        <v>46040</v>
      </c>
      <c r="B127" s="1">
        <v>1412</v>
      </c>
      <c r="C127" s="1">
        <v>16</v>
      </c>
      <c r="D127" s="1" t="s">
        <v>13</v>
      </c>
      <c r="E127" s="1" t="s">
        <v>14</v>
      </c>
      <c r="F127" s="1" t="s">
        <v>15</v>
      </c>
      <c r="G127" s="1">
        <v>35</v>
      </c>
      <c r="H127" s="1" t="s">
        <v>104</v>
      </c>
      <c r="I127" s="1" t="s">
        <v>27</v>
      </c>
      <c r="J127" s="1">
        <v>1</v>
      </c>
      <c r="K127" s="1">
        <v>11.3</v>
      </c>
      <c r="L127" s="1">
        <v>5</v>
      </c>
      <c r="M127" s="16">
        <f t="shared" si="1"/>
        <v>10.734999999999999</v>
      </c>
      <c r="N127" s="1">
        <v>0</v>
      </c>
    </row>
    <row r="128" spans="1:14">
      <c r="A128" s="2">
        <v>46040</v>
      </c>
      <c r="B128" s="1">
        <v>1412</v>
      </c>
      <c r="C128" s="1">
        <v>16</v>
      </c>
      <c r="D128" s="1" t="s">
        <v>13</v>
      </c>
      <c r="E128" s="1" t="s">
        <v>14</v>
      </c>
      <c r="F128" s="1" t="s">
        <v>15</v>
      </c>
      <c r="G128" s="1">
        <v>21</v>
      </c>
      <c r="H128" s="1" t="s">
        <v>97</v>
      </c>
      <c r="I128" s="1" t="s">
        <v>17</v>
      </c>
      <c r="J128" s="1">
        <v>1</v>
      </c>
      <c r="K128" s="1">
        <v>49.37</v>
      </c>
      <c r="L128" s="1">
        <v>0</v>
      </c>
      <c r="M128" s="16">
        <f t="shared" si="1"/>
        <v>49.37</v>
      </c>
      <c r="N128" s="1">
        <v>0</v>
      </c>
    </row>
    <row r="129" spans="1:14">
      <c r="A129" s="2">
        <v>46040</v>
      </c>
      <c r="B129" s="1">
        <v>1412</v>
      </c>
      <c r="C129" s="1">
        <v>16</v>
      </c>
      <c r="D129" s="1" t="s">
        <v>13</v>
      </c>
      <c r="E129" s="1" t="s">
        <v>14</v>
      </c>
      <c r="F129" s="1" t="s">
        <v>15</v>
      </c>
      <c r="G129" s="1">
        <v>4</v>
      </c>
      <c r="H129" s="1" t="s">
        <v>92</v>
      </c>
      <c r="I129" s="1" t="s">
        <v>21</v>
      </c>
      <c r="J129" s="1">
        <v>3</v>
      </c>
      <c r="K129" s="1">
        <v>34.83</v>
      </c>
      <c r="L129" s="1">
        <v>10</v>
      </c>
      <c r="M129" s="16">
        <f t="shared" si="1"/>
        <v>94.040999999999997</v>
      </c>
      <c r="N129" s="1">
        <v>0</v>
      </c>
    </row>
    <row r="130" spans="1:14">
      <c r="A130" s="2">
        <v>46040</v>
      </c>
      <c r="B130" s="1">
        <v>1412</v>
      </c>
      <c r="C130" s="1">
        <v>16</v>
      </c>
      <c r="D130" s="1" t="s">
        <v>13</v>
      </c>
      <c r="E130" s="1" t="s">
        <v>14</v>
      </c>
      <c r="F130" s="1" t="s">
        <v>15</v>
      </c>
      <c r="G130" s="1">
        <v>9</v>
      </c>
      <c r="H130" s="1" t="s">
        <v>69</v>
      </c>
      <c r="I130" s="1" t="s">
        <v>33</v>
      </c>
      <c r="J130" s="1">
        <v>1</v>
      </c>
      <c r="K130" s="1">
        <v>20.69</v>
      </c>
      <c r="L130" s="1">
        <v>0</v>
      </c>
      <c r="M130" s="16">
        <f t="shared" si="1"/>
        <v>20.69</v>
      </c>
      <c r="N130" s="1">
        <v>0</v>
      </c>
    </row>
    <row r="131" spans="1:14">
      <c r="A131" s="2">
        <v>46073</v>
      </c>
      <c r="B131" s="1">
        <v>1504</v>
      </c>
      <c r="C131" s="1">
        <v>16</v>
      </c>
      <c r="D131" s="1" t="s">
        <v>13</v>
      </c>
      <c r="E131" s="1" t="s">
        <v>14</v>
      </c>
      <c r="F131" s="1" t="s">
        <v>15</v>
      </c>
      <c r="G131" s="1">
        <v>25</v>
      </c>
      <c r="H131" s="1" t="s">
        <v>214</v>
      </c>
      <c r="I131" s="1" t="s">
        <v>37</v>
      </c>
      <c r="J131" s="1">
        <v>1</v>
      </c>
      <c r="K131" s="1">
        <v>17.78</v>
      </c>
      <c r="L131" s="1">
        <v>5</v>
      </c>
      <c r="M131" s="16">
        <f t="shared" ref="M131:M194" si="2">J131*K131*(1-L131/100)</f>
        <v>16.891000000000002</v>
      </c>
      <c r="N131" s="1">
        <v>0</v>
      </c>
    </row>
    <row r="132" spans="1:14">
      <c r="A132" s="2">
        <v>46073</v>
      </c>
      <c r="B132" s="1">
        <v>1504</v>
      </c>
      <c r="C132" s="1">
        <v>16</v>
      </c>
      <c r="D132" s="1" t="s">
        <v>13</v>
      </c>
      <c r="E132" s="1" t="s">
        <v>14</v>
      </c>
      <c r="F132" s="1" t="s">
        <v>15</v>
      </c>
      <c r="G132" s="1">
        <v>18</v>
      </c>
      <c r="H132" s="1" t="s">
        <v>23</v>
      </c>
      <c r="I132" s="14" t="str">
        <f>_xlfn.XLOOKUP(H132,'Product Data'!$B$2:$B$100,'Product Data'!$C$2:$C$100,"Not Found")</f>
        <v>Home</v>
      </c>
      <c r="J132" s="1">
        <v>1</v>
      </c>
      <c r="K132" s="1">
        <v>44.01</v>
      </c>
      <c r="L132" s="1">
        <v>0</v>
      </c>
      <c r="M132" s="16">
        <f t="shared" si="2"/>
        <v>44.01</v>
      </c>
      <c r="N132" s="1">
        <v>0</v>
      </c>
    </row>
    <row r="133" spans="1:14">
      <c r="A133" s="2">
        <v>46073</v>
      </c>
      <c r="B133" s="1">
        <v>1504</v>
      </c>
      <c r="C133" s="1">
        <v>16</v>
      </c>
      <c r="D133" s="1" t="s">
        <v>13</v>
      </c>
      <c r="E133" s="1" t="s">
        <v>14</v>
      </c>
      <c r="F133" s="1" t="s">
        <v>15</v>
      </c>
      <c r="G133" s="1">
        <v>26</v>
      </c>
      <c r="H133" s="1" t="s">
        <v>83</v>
      </c>
      <c r="I133" s="1" t="s">
        <v>37</v>
      </c>
      <c r="J133" s="1">
        <v>1</v>
      </c>
      <c r="K133" s="1">
        <v>31.76</v>
      </c>
      <c r="L133" s="1">
        <v>10</v>
      </c>
      <c r="M133" s="16">
        <f t="shared" si="2"/>
        <v>28.584000000000003</v>
      </c>
      <c r="N133" s="1">
        <v>0</v>
      </c>
    </row>
    <row r="134" spans="1:14">
      <c r="A134" s="2">
        <v>46081</v>
      </c>
      <c r="B134" s="1">
        <v>1542</v>
      </c>
      <c r="C134" s="1">
        <v>16</v>
      </c>
      <c r="D134" s="1" t="s">
        <v>13</v>
      </c>
      <c r="E134" s="1" t="s">
        <v>14</v>
      </c>
      <c r="F134" s="1" t="s">
        <v>15</v>
      </c>
      <c r="G134" s="1">
        <v>3</v>
      </c>
      <c r="H134" s="1" t="s">
        <v>59</v>
      </c>
      <c r="I134" s="1" t="s">
        <v>21</v>
      </c>
      <c r="J134" s="1">
        <v>1</v>
      </c>
      <c r="K134" s="1">
        <v>25.47</v>
      </c>
      <c r="L134" s="1">
        <v>0</v>
      </c>
      <c r="M134" s="16">
        <f t="shared" si="2"/>
        <v>25.47</v>
      </c>
      <c r="N134" s="1">
        <v>0</v>
      </c>
    </row>
    <row r="135" spans="1:14">
      <c r="A135" s="2">
        <v>46081</v>
      </c>
      <c r="B135" s="1">
        <v>1542</v>
      </c>
      <c r="C135" s="1">
        <v>16</v>
      </c>
      <c r="D135" s="1" t="s">
        <v>13</v>
      </c>
      <c r="E135" s="1" t="s">
        <v>14</v>
      </c>
      <c r="F135" s="1" t="s">
        <v>15</v>
      </c>
      <c r="G135" s="1">
        <v>10</v>
      </c>
      <c r="H135" s="1" t="s">
        <v>32</v>
      </c>
      <c r="I135" s="1" t="s">
        <v>33</v>
      </c>
      <c r="J135" s="1">
        <v>2</v>
      </c>
      <c r="K135" s="1">
        <v>62.68</v>
      </c>
      <c r="L135" s="1">
        <v>5.5</v>
      </c>
      <c r="M135" s="16">
        <f t="shared" si="2"/>
        <v>118.4652</v>
      </c>
      <c r="N135" s="1">
        <v>1</v>
      </c>
    </row>
    <row r="136" spans="1:14">
      <c r="A136" s="2">
        <v>46081</v>
      </c>
      <c r="B136" s="1">
        <v>1542</v>
      </c>
      <c r="C136" s="1">
        <v>16</v>
      </c>
      <c r="D136" s="1" t="s">
        <v>13</v>
      </c>
      <c r="E136" s="1" t="s">
        <v>14</v>
      </c>
      <c r="F136" s="1" t="s">
        <v>15</v>
      </c>
      <c r="G136" s="1">
        <v>32</v>
      </c>
      <c r="H136" s="1" t="str">
        <f>IF(I136="Apparel","Joggers",IF(I136="Beauty","Vitamin C Serum",IF(I136="Electronics","Wireless Earbuds",IF(I136="Home","LED Lamp",IF(I136="Sports","Water Bottle",IF(I136="Toys","RC Car",""))))))</f>
        <v>Water Bottle</v>
      </c>
      <c r="I136" s="1" t="s">
        <v>31</v>
      </c>
      <c r="J136" s="1">
        <v>1</v>
      </c>
      <c r="K136" s="1">
        <v>61.06</v>
      </c>
      <c r="L136" s="1">
        <v>0</v>
      </c>
      <c r="M136" s="16">
        <f t="shared" si="2"/>
        <v>61.06</v>
      </c>
      <c r="N136" s="1">
        <v>0</v>
      </c>
    </row>
    <row r="137" spans="1:14">
      <c r="A137" s="2">
        <v>46327</v>
      </c>
      <c r="B137" s="1">
        <v>1390</v>
      </c>
      <c r="C137" s="1">
        <v>17</v>
      </c>
      <c r="D137" s="1" t="s">
        <v>176</v>
      </c>
      <c r="E137" s="1" t="s">
        <v>68</v>
      </c>
      <c r="F137" s="1" t="s">
        <v>19</v>
      </c>
      <c r="G137" s="1">
        <v>3</v>
      </c>
      <c r="H137" s="1" t="s">
        <v>59</v>
      </c>
      <c r="I137" s="1" t="s">
        <v>21</v>
      </c>
      <c r="J137" s="1">
        <v>3</v>
      </c>
      <c r="K137" s="1">
        <v>25.47</v>
      </c>
      <c r="L137" s="1">
        <v>0</v>
      </c>
      <c r="M137" s="16">
        <f t="shared" si="2"/>
        <v>76.41</v>
      </c>
      <c r="N137" s="1">
        <v>0</v>
      </c>
    </row>
    <row r="138" spans="1:14">
      <c r="A138" s="2">
        <v>46327</v>
      </c>
      <c r="B138" s="1">
        <v>1390</v>
      </c>
      <c r="C138" s="1">
        <v>17</v>
      </c>
      <c r="D138" s="1" t="s">
        <v>176</v>
      </c>
      <c r="E138" s="1" t="s">
        <v>68</v>
      </c>
      <c r="F138" s="1" t="s">
        <v>19</v>
      </c>
      <c r="G138" s="1">
        <v>23</v>
      </c>
      <c r="H138" s="1" t="s">
        <v>98</v>
      </c>
      <c r="I138" s="1" t="s">
        <v>37</v>
      </c>
      <c r="J138" s="1">
        <v>2</v>
      </c>
      <c r="K138" s="1">
        <v>38.14</v>
      </c>
      <c r="L138" s="1">
        <v>0</v>
      </c>
      <c r="M138" s="16">
        <f t="shared" si="2"/>
        <v>76.28</v>
      </c>
      <c r="N138" s="1">
        <v>0</v>
      </c>
    </row>
    <row r="139" spans="1:14">
      <c r="A139" s="2">
        <v>45978</v>
      </c>
      <c r="B139" s="1">
        <v>1138</v>
      </c>
      <c r="C139" s="1">
        <v>18</v>
      </c>
      <c r="D139" s="1" t="s">
        <v>134</v>
      </c>
      <c r="E139" s="1" t="s">
        <v>29</v>
      </c>
      <c r="F139" s="1" t="s">
        <v>15</v>
      </c>
      <c r="G139" s="1">
        <v>36</v>
      </c>
      <c r="H139" s="1" t="s">
        <v>62</v>
      </c>
      <c r="I139" s="1" t="s">
        <v>27</v>
      </c>
      <c r="J139" s="1">
        <v>1</v>
      </c>
      <c r="K139" s="1">
        <v>23.23</v>
      </c>
      <c r="L139" s="1">
        <v>0</v>
      </c>
      <c r="M139" s="16">
        <f t="shared" si="2"/>
        <v>23.23</v>
      </c>
      <c r="N139" s="1">
        <v>0</v>
      </c>
    </row>
    <row r="140" spans="1:14">
      <c r="A140" s="2">
        <v>45978</v>
      </c>
      <c r="B140" s="1">
        <v>1138</v>
      </c>
      <c r="C140" s="1">
        <v>18</v>
      </c>
      <c r="D140" s="1" t="s">
        <v>134</v>
      </c>
      <c r="E140" s="1" t="s">
        <v>29</v>
      </c>
      <c r="F140" s="1" t="s">
        <v>15</v>
      </c>
      <c r="G140" s="1">
        <v>40</v>
      </c>
      <c r="H140" s="1" t="s">
        <v>53</v>
      </c>
      <c r="I140" s="1" t="s">
        <v>27</v>
      </c>
      <c r="J140" s="1">
        <v>1</v>
      </c>
      <c r="K140" s="1">
        <v>47.25</v>
      </c>
      <c r="L140" s="1">
        <v>0</v>
      </c>
      <c r="M140" s="16">
        <f t="shared" si="2"/>
        <v>47.25</v>
      </c>
      <c r="N140" s="1">
        <v>0</v>
      </c>
    </row>
    <row r="141" spans="1:14">
      <c r="A141" s="2">
        <v>46080</v>
      </c>
      <c r="B141" s="1">
        <v>1534</v>
      </c>
      <c r="C141" s="1">
        <v>18</v>
      </c>
      <c r="D141" s="1" t="s">
        <v>134</v>
      </c>
      <c r="E141" s="1" t="s">
        <v>29</v>
      </c>
      <c r="F141" s="1" t="s">
        <v>15</v>
      </c>
      <c r="G141" s="1">
        <v>34</v>
      </c>
      <c r="H141" s="1" t="s">
        <v>130</v>
      </c>
      <c r="I141" s="1" t="s">
        <v>31</v>
      </c>
      <c r="J141" s="1">
        <v>1</v>
      </c>
      <c r="K141" s="1">
        <v>58.26</v>
      </c>
      <c r="L141" s="1">
        <v>0</v>
      </c>
      <c r="M141" s="16">
        <f t="shared" si="2"/>
        <v>58.26</v>
      </c>
      <c r="N141" s="1">
        <v>0</v>
      </c>
    </row>
    <row r="142" spans="1:14">
      <c r="A142" s="2">
        <v>46080</v>
      </c>
      <c r="B142" s="1">
        <v>1534</v>
      </c>
      <c r="C142" s="1">
        <v>18</v>
      </c>
      <c r="D142" s="1" t="s">
        <v>134</v>
      </c>
      <c r="E142" s="1" t="s">
        <v>29</v>
      </c>
      <c r="F142" s="1" t="s">
        <v>15</v>
      </c>
      <c r="G142" s="1">
        <v>7</v>
      </c>
      <c r="H142" s="1" t="str">
        <f>IF(I142="Apparel","Joggers",IF(I142="Beauty","Vitamin C Serum",IF(I142="Electronics","Wireless Earbuds",IF(I142="Home","LED Lamp",IF(I142="Sports","Water Bottle",IF(I142="Toys","RC Car",""))))))</f>
        <v>Joggers</v>
      </c>
      <c r="I142" s="1" t="s">
        <v>21</v>
      </c>
      <c r="J142" s="1">
        <v>1</v>
      </c>
      <c r="K142" s="1">
        <v>79.39</v>
      </c>
      <c r="L142" s="1">
        <v>0</v>
      </c>
      <c r="M142" s="16">
        <f t="shared" si="2"/>
        <v>79.39</v>
      </c>
      <c r="N142" s="1">
        <v>0</v>
      </c>
    </row>
    <row r="143" spans="1:14">
      <c r="A143" s="2">
        <v>45979</v>
      </c>
      <c r="B143" s="1">
        <v>1144</v>
      </c>
      <c r="C143" s="1">
        <v>19</v>
      </c>
      <c r="D143" s="1" t="s">
        <v>136</v>
      </c>
      <c r="E143" s="1" t="s">
        <v>29</v>
      </c>
      <c r="F143" s="1" t="s">
        <v>35</v>
      </c>
      <c r="G143" s="1">
        <v>34</v>
      </c>
      <c r="H143" s="1" t="s">
        <v>130</v>
      </c>
      <c r="I143" s="1" t="s">
        <v>31</v>
      </c>
      <c r="J143" s="1">
        <v>3</v>
      </c>
      <c r="K143" s="1">
        <v>58.26</v>
      </c>
      <c r="L143" s="1">
        <v>0</v>
      </c>
      <c r="M143" s="16">
        <f t="shared" si="2"/>
        <v>174.78</v>
      </c>
      <c r="N143" s="1">
        <v>0</v>
      </c>
    </row>
    <row r="144" spans="1:14">
      <c r="A144" s="2">
        <v>45979</v>
      </c>
      <c r="B144" s="1">
        <v>1144</v>
      </c>
      <c r="C144" s="1">
        <v>19</v>
      </c>
      <c r="D144" s="1" t="s">
        <v>136</v>
      </c>
      <c r="E144" s="1" t="s">
        <v>29</v>
      </c>
      <c r="F144" s="1" t="s">
        <v>35</v>
      </c>
      <c r="G144" s="1">
        <v>8</v>
      </c>
      <c r="H144" s="1" t="s">
        <v>84</v>
      </c>
      <c r="I144" s="1" t="s">
        <v>21</v>
      </c>
      <c r="J144" s="1">
        <v>1</v>
      </c>
      <c r="K144" s="1">
        <v>16.72</v>
      </c>
      <c r="L144" s="1">
        <v>0</v>
      </c>
      <c r="M144" s="16">
        <f t="shared" si="2"/>
        <v>16.72</v>
      </c>
      <c r="N144" s="1">
        <v>0</v>
      </c>
    </row>
    <row r="145" spans="1:14">
      <c r="A145" s="2">
        <v>45979</v>
      </c>
      <c r="B145" s="1">
        <v>1144</v>
      </c>
      <c r="C145" s="1">
        <v>19</v>
      </c>
      <c r="D145" s="1" t="s">
        <v>136</v>
      </c>
      <c r="E145" s="1" t="s">
        <v>29</v>
      </c>
      <c r="F145" s="1" t="s">
        <v>35</v>
      </c>
      <c r="G145" s="1">
        <v>33</v>
      </c>
      <c r="H145" s="1" t="s">
        <v>42</v>
      </c>
      <c r="I145" s="1" t="s">
        <v>31</v>
      </c>
      <c r="J145" s="1">
        <v>3</v>
      </c>
      <c r="K145" s="1">
        <v>40.94</v>
      </c>
      <c r="L145" s="1">
        <v>0</v>
      </c>
      <c r="M145" s="16">
        <f t="shared" si="2"/>
        <v>122.82</v>
      </c>
      <c r="N145" s="1">
        <v>0</v>
      </c>
    </row>
    <row r="146" spans="1:14">
      <c r="A146" s="2">
        <v>45979</v>
      </c>
      <c r="B146" s="1">
        <v>1144</v>
      </c>
      <c r="C146" s="1">
        <v>19</v>
      </c>
      <c r="D146" s="1" t="s">
        <v>136</v>
      </c>
      <c r="E146" s="1" t="s">
        <v>29</v>
      </c>
      <c r="F146" s="1" t="s">
        <v>35</v>
      </c>
      <c r="G146" s="1">
        <v>39</v>
      </c>
      <c r="H146" s="1" t="s">
        <v>36</v>
      </c>
      <c r="I146" s="14" t="str">
        <f>_xlfn.XLOOKUP(H146,'Product Data'!$B$2:$B$100,'Product Data'!$C$2:$C$100,"Not Found")</f>
        <v>Toys</v>
      </c>
      <c r="J146" s="1">
        <v>1</v>
      </c>
      <c r="K146" s="1">
        <v>39.979999999999997</v>
      </c>
      <c r="L146" s="1">
        <v>0</v>
      </c>
      <c r="M146" s="16">
        <f t="shared" si="2"/>
        <v>39.979999999999997</v>
      </c>
      <c r="N146" s="1">
        <v>0</v>
      </c>
    </row>
    <row r="147" spans="1:14">
      <c r="A147" s="2">
        <v>45973</v>
      </c>
      <c r="B147" s="1">
        <v>1255</v>
      </c>
      <c r="C147" s="1">
        <v>19</v>
      </c>
      <c r="D147" s="1" t="s">
        <v>136</v>
      </c>
      <c r="E147" s="1" t="s">
        <v>29</v>
      </c>
      <c r="F147" s="1" t="s">
        <v>35</v>
      </c>
      <c r="G147" s="1">
        <v>28</v>
      </c>
      <c r="H147" s="1" t="s">
        <v>51</v>
      </c>
      <c r="I147" s="1" t="s">
        <v>37</v>
      </c>
      <c r="J147" s="1">
        <v>1</v>
      </c>
      <c r="K147" s="1">
        <v>21.24</v>
      </c>
      <c r="L147" s="1">
        <v>15</v>
      </c>
      <c r="M147" s="16">
        <f t="shared" si="2"/>
        <v>18.053999999999998</v>
      </c>
      <c r="N147" s="1">
        <v>0</v>
      </c>
    </row>
    <row r="148" spans="1:14">
      <c r="A148" s="2">
        <v>46016</v>
      </c>
      <c r="B148" s="1">
        <v>1255</v>
      </c>
      <c r="C148" s="1">
        <v>19</v>
      </c>
      <c r="D148" s="1" t="s">
        <v>136</v>
      </c>
      <c r="E148" s="1" t="s">
        <v>29</v>
      </c>
      <c r="F148" s="1" t="s">
        <v>35</v>
      </c>
      <c r="G148" s="1">
        <v>30</v>
      </c>
      <c r="H148" s="1" t="s">
        <v>57</v>
      </c>
      <c r="I148" s="1" t="s">
        <v>31</v>
      </c>
      <c r="J148" s="1">
        <v>2</v>
      </c>
      <c r="K148" s="1">
        <v>41.49</v>
      </c>
      <c r="L148" s="1">
        <v>10</v>
      </c>
      <c r="M148" s="16">
        <f t="shared" si="2"/>
        <v>74.682000000000002</v>
      </c>
      <c r="N148" s="1">
        <v>0</v>
      </c>
    </row>
    <row r="149" spans="1:14">
      <c r="A149" s="2">
        <v>46328</v>
      </c>
      <c r="B149" s="1">
        <v>1473</v>
      </c>
      <c r="C149" s="1">
        <v>19</v>
      </c>
      <c r="D149" s="1" t="s">
        <v>136</v>
      </c>
      <c r="E149" s="1" t="s">
        <v>29</v>
      </c>
      <c r="F149" s="1" t="s">
        <v>35</v>
      </c>
      <c r="G149" s="1">
        <v>11</v>
      </c>
      <c r="H149" s="1" t="s">
        <v>65</v>
      </c>
      <c r="I149" s="1" t="s">
        <v>33</v>
      </c>
      <c r="J149" s="1">
        <v>1</v>
      </c>
      <c r="K149" s="1">
        <v>58.35</v>
      </c>
      <c r="L149" s="1">
        <v>15</v>
      </c>
      <c r="M149" s="16">
        <f t="shared" si="2"/>
        <v>49.597499999999997</v>
      </c>
      <c r="N149" s="1">
        <v>0</v>
      </c>
    </row>
    <row r="150" spans="1:14">
      <c r="A150" s="2">
        <v>45944</v>
      </c>
      <c r="B150" s="1">
        <v>1008</v>
      </c>
      <c r="C150" s="1">
        <v>20</v>
      </c>
      <c r="D150" s="1" t="s">
        <v>39</v>
      </c>
      <c r="E150" s="1" t="s">
        <v>40</v>
      </c>
      <c r="F150" s="1" t="s">
        <v>41</v>
      </c>
      <c r="G150" s="1">
        <v>33</v>
      </c>
      <c r="H150" s="1" t="s">
        <v>42</v>
      </c>
      <c r="I150" s="1" t="s">
        <v>31</v>
      </c>
      <c r="J150" s="1">
        <v>2</v>
      </c>
      <c r="K150" s="1">
        <v>40.94</v>
      </c>
      <c r="L150" s="1">
        <v>0</v>
      </c>
      <c r="M150" s="16">
        <f t="shared" si="2"/>
        <v>81.88</v>
      </c>
      <c r="N150" s="1">
        <v>0</v>
      </c>
    </row>
    <row r="151" spans="1:14">
      <c r="A151" s="2">
        <v>45976</v>
      </c>
      <c r="B151" s="1">
        <v>1129</v>
      </c>
      <c r="C151" s="1">
        <v>20</v>
      </c>
      <c r="D151" s="1" t="s">
        <v>39</v>
      </c>
      <c r="E151" s="1" t="s">
        <v>40</v>
      </c>
      <c r="F151" s="1" t="s">
        <v>41</v>
      </c>
      <c r="G151" s="1">
        <v>20</v>
      </c>
      <c r="H151" s="1" t="s">
        <v>16</v>
      </c>
      <c r="I151" s="1" t="s">
        <v>17</v>
      </c>
      <c r="J151" s="1">
        <v>3</v>
      </c>
      <c r="K151" s="1">
        <v>32.76</v>
      </c>
      <c r="L151" s="1">
        <v>0</v>
      </c>
      <c r="M151" s="16">
        <f t="shared" si="2"/>
        <v>98.28</v>
      </c>
      <c r="N151" s="1">
        <v>0</v>
      </c>
    </row>
    <row r="152" spans="1:14">
      <c r="A152" s="2">
        <v>45994</v>
      </c>
      <c r="B152" s="1">
        <v>1216</v>
      </c>
      <c r="C152" s="1">
        <v>20</v>
      </c>
      <c r="D152" s="1" t="s">
        <v>39</v>
      </c>
      <c r="E152" s="1" t="s">
        <v>40</v>
      </c>
      <c r="F152" s="1" t="s">
        <v>41</v>
      </c>
      <c r="G152" s="1">
        <v>38</v>
      </c>
      <c r="H152" s="1" t="s">
        <v>70</v>
      </c>
      <c r="I152" s="1" t="s">
        <v>27</v>
      </c>
      <c r="J152" s="1">
        <v>1</v>
      </c>
      <c r="K152" s="1">
        <v>25.14</v>
      </c>
      <c r="L152" s="1">
        <v>0</v>
      </c>
      <c r="M152" s="16">
        <f t="shared" si="2"/>
        <v>25.14</v>
      </c>
      <c r="N152" s="1">
        <v>0</v>
      </c>
    </row>
    <row r="153" spans="1:14">
      <c r="A153" s="2">
        <v>46072</v>
      </c>
      <c r="B153" s="1">
        <v>1501</v>
      </c>
      <c r="C153" s="1">
        <v>20</v>
      </c>
      <c r="D153" s="1" t="s">
        <v>39</v>
      </c>
      <c r="E153" s="1" t="s">
        <v>40</v>
      </c>
      <c r="F153" s="1" t="s">
        <v>41</v>
      </c>
      <c r="G153" s="1">
        <v>8</v>
      </c>
      <c r="H153" s="1" t="s">
        <v>84</v>
      </c>
      <c r="I153" s="1" t="s">
        <v>21</v>
      </c>
      <c r="J153" s="1">
        <v>2</v>
      </c>
      <c r="K153" s="1">
        <v>16.72</v>
      </c>
      <c r="L153" s="1">
        <v>0</v>
      </c>
      <c r="M153" s="16">
        <f t="shared" si="2"/>
        <v>33.44</v>
      </c>
      <c r="N153" s="1">
        <v>0</v>
      </c>
    </row>
    <row r="154" spans="1:14">
      <c r="A154" s="2">
        <v>46073</v>
      </c>
      <c r="B154" s="1">
        <v>1505</v>
      </c>
      <c r="C154" s="1">
        <v>20</v>
      </c>
      <c r="D154" s="1" t="s">
        <v>39</v>
      </c>
      <c r="E154" s="1" t="s">
        <v>40</v>
      </c>
      <c r="F154" s="1" t="s">
        <v>41</v>
      </c>
      <c r="G154" s="1">
        <v>37</v>
      </c>
      <c r="H154" s="1" t="s">
        <v>26</v>
      </c>
      <c r="I154" s="1" t="s">
        <v>27</v>
      </c>
      <c r="J154" s="1">
        <v>2</v>
      </c>
      <c r="K154" s="1">
        <v>52.67</v>
      </c>
      <c r="L154" s="1">
        <v>0</v>
      </c>
      <c r="M154" s="16">
        <f t="shared" si="2"/>
        <v>105.34</v>
      </c>
      <c r="N154" s="1">
        <v>0</v>
      </c>
    </row>
    <row r="155" spans="1:14">
      <c r="A155" s="2">
        <v>45974</v>
      </c>
      <c r="B155" s="1">
        <v>1119</v>
      </c>
      <c r="C155" s="1">
        <v>22</v>
      </c>
      <c r="D155" s="1" t="s">
        <v>127</v>
      </c>
      <c r="E155" s="1" t="s">
        <v>29</v>
      </c>
      <c r="F155" s="1" t="s">
        <v>55</v>
      </c>
      <c r="G155" s="1">
        <v>30</v>
      </c>
      <c r="H155" s="1" t="s">
        <v>57</v>
      </c>
      <c r="I155" s="1" t="s">
        <v>31</v>
      </c>
      <c r="J155" s="1">
        <v>1</v>
      </c>
      <c r="K155" s="1">
        <v>41.49</v>
      </c>
      <c r="L155" s="1">
        <v>0</v>
      </c>
      <c r="M155" s="16">
        <f t="shared" si="2"/>
        <v>41.49</v>
      </c>
      <c r="N155" s="1">
        <v>0</v>
      </c>
    </row>
    <row r="156" spans="1:14">
      <c r="A156" s="2">
        <v>46014</v>
      </c>
      <c r="B156" s="1">
        <v>1313</v>
      </c>
      <c r="C156" s="1">
        <v>22</v>
      </c>
      <c r="D156" s="1" t="s">
        <v>127</v>
      </c>
      <c r="E156" s="1" t="s">
        <v>29</v>
      </c>
      <c r="F156" s="1" t="s">
        <v>55</v>
      </c>
      <c r="G156" s="1">
        <v>36</v>
      </c>
      <c r="H156" s="1" t="s">
        <v>62</v>
      </c>
      <c r="I156" s="1" t="s">
        <v>27</v>
      </c>
      <c r="J156" s="1">
        <v>1</v>
      </c>
      <c r="K156" s="1">
        <v>23.23</v>
      </c>
      <c r="L156" s="1">
        <v>0</v>
      </c>
      <c r="M156" s="16">
        <f t="shared" si="2"/>
        <v>23.23</v>
      </c>
      <c r="N156" s="1">
        <v>0</v>
      </c>
    </row>
    <row r="157" spans="1:14">
      <c r="A157" s="2">
        <v>46014</v>
      </c>
      <c r="B157" s="1">
        <v>1313</v>
      </c>
      <c r="C157" s="1">
        <v>22</v>
      </c>
      <c r="D157" s="1" t="s">
        <v>127</v>
      </c>
      <c r="E157" s="1" t="s">
        <v>29</v>
      </c>
      <c r="F157" s="1" t="s">
        <v>55</v>
      </c>
      <c r="G157" s="1">
        <v>36</v>
      </c>
      <c r="H157" s="1" t="s">
        <v>62</v>
      </c>
      <c r="I157" s="1" t="s">
        <v>27</v>
      </c>
      <c r="J157" s="1">
        <v>1</v>
      </c>
      <c r="K157" s="1">
        <v>23.23</v>
      </c>
      <c r="L157" s="1">
        <v>0</v>
      </c>
      <c r="M157" s="16">
        <f t="shared" si="2"/>
        <v>23.23</v>
      </c>
      <c r="N157" s="1">
        <v>1</v>
      </c>
    </row>
    <row r="158" spans="1:14">
      <c r="A158" s="2">
        <v>45949</v>
      </c>
      <c r="B158" s="1">
        <v>1027</v>
      </c>
      <c r="C158" s="1">
        <v>23</v>
      </c>
      <c r="D158" s="1" t="s">
        <v>78</v>
      </c>
      <c r="E158" s="1" t="s">
        <v>29</v>
      </c>
      <c r="F158" s="1" t="s">
        <v>55</v>
      </c>
      <c r="G158" s="1">
        <v>30</v>
      </c>
      <c r="H158" s="1" t="s">
        <v>57</v>
      </c>
      <c r="I158" s="1" t="s">
        <v>31</v>
      </c>
      <c r="J158" s="1">
        <v>1</v>
      </c>
      <c r="K158" s="1">
        <v>41.49</v>
      </c>
      <c r="L158" s="1">
        <v>0</v>
      </c>
      <c r="M158" s="16">
        <f t="shared" si="2"/>
        <v>41.49</v>
      </c>
      <c r="N158" s="1">
        <v>0</v>
      </c>
    </row>
    <row r="159" spans="1:14">
      <c r="A159" s="2">
        <v>45975</v>
      </c>
      <c r="B159" s="1">
        <v>1123</v>
      </c>
      <c r="C159" s="1">
        <v>23</v>
      </c>
      <c r="D159" s="1" t="s">
        <v>78</v>
      </c>
      <c r="E159" s="1" t="s">
        <v>29</v>
      </c>
      <c r="F159" s="1" t="s">
        <v>55</v>
      </c>
      <c r="G159" s="1">
        <v>34</v>
      </c>
      <c r="H159" s="1" t="s">
        <v>130</v>
      </c>
      <c r="I159" s="1" t="s">
        <v>31</v>
      </c>
      <c r="J159" s="1">
        <v>2</v>
      </c>
      <c r="K159" s="1">
        <v>58.26</v>
      </c>
      <c r="L159" s="1">
        <v>0</v>
      </c>
      <c r="M159" s="16">
        <f t="shared" si="2"/>
        <v>116.52</v>
      </c>
      <c r="N159" s="1">
        <v>0</v>
      </c>
    </row>
    <row r="160" spans="1:14">
      <c r="A160" s="2">
        <v>45975</v>
      </c>
      <c r="B160" s="1">
        <v>1123</v>
      </c>
      <c r="C160" s="1">
        <v>23</v>
      </c>
      <c r="D160" s="1" t="s">
        <v>78</v>
      </c>
      <c r="E160" s="1" t="s">
        <v>29</v>
      </c>
      <c r="F160" s="1" t="s">
        <v>55</v>
      </c>
      <c r="G160" s="1">
        <v>28</v>
      </c>
      <c r="H160" s="1" t="s">
        <v>51</v>
      </c>
      <c r="I160" s="1" t="s">
        <v>37</v>
      </c>
      <c r="J160" s="1">
        <v>1</v>
      </c>
      <c r="K160" s="1">
        <v>21.24</v>
      </c>
      <c r="L160" s="1">
        <v>0</v>
      </c>
      <c r="M160" s="16">
        <f t="shared" si="2"/>
        <v>21.24</v>
      </c>
      <c r="N160" s="1">
        <v>0</v>
      </c>
    </row>
    <row r="161" spans="1:14">
      <c r="A161" s="2">
        <v>45981</v>
      </c>
      <c r="B161" s="1">
        <v>1154</v>
      </c>
      <c r="C161" s="1">
        <v>23</v>
      </c>
      <c r="D161" s="1" t="s">
        <v>78</v>
      </c>
      <c r="E161" s="1" t="s">
        <v>29</v>
      </c>
      <c r="F161" s="1" t="s">
        <v>55</v>
      </c>
      <c r="G161" s="1">
        <v>20</v>
      </c>
      <c r="H161" s="1" t="s">
        <v>16</v>
      </c>
      <c r="I161" s="1" t="s">
        <v>17</v>
      </c>
      <c r="J161" s="1">
        <v>1</v>
      </c>
      <c r="K161" s="1">
        <v>32.76</v>
      </c>
      <c r="L161" s="1">
        <v>20</v>
      </c>
      <c r="M161" s="16">
        <f t="shared" si="2"/>
        <v>26.207999999999998</v>
      </c>
      <c r="N161" s="1">
        <v>0</v>
      </c>
    </row>
    <row r="162" spans="1:14">
      <c r="A162" s="2">
        <v>45981</v>
      </c>
      <c r="B162" s="1">
        <v>1154</v>
      </c>
      <c r="C162" s="1">
        <v>23</v>
      </c>
      <c r="D162" s="1" t="s">
        <v>78</v>
      </c>
      <c r="E162" s="1" t="s">
        <v>29</v>
      </c>
      <c r="F162" s="1" t="s">
        <v>55</v>
      </c>
      <c r="G162" s="1">
        <v>34</v>
      </c>
      <c r="H162" s="1" t="s">
        <v>130</v>
      </c>
      <c r="I162" s="1" t="s">
        <v>31</v>
      </c>
      <c r="J162" s="1">
        <v>3</v>
      </c>
      <c r="K162" s="1">
        <v>58.26</v>
      </c>
      <c r="L162" s="1">
        <v>15</v>
      </c>
      <c r="M162" s="16">
        <f t="shared" si="2"/>
        <v>148.56299999999999</v>
      </c>
      <c r="N162" s="1">
        <v>0</v>
      </c>
    </row>
    <row r="163" spans="1:14">
      <c r="A163" s="2">
        <v>45981</v>
      </c>
      <c r="B163" s="1">
        <v>1154</v>
      </c>
      <c r="C163" s="1">
        <v>23</v>
      </c>
      <c r="D163" s="1" t="s">
        <v>78</v>
      </c>
      <c r="E163" s="1" t="s">
        <v>29</v>
      </c>
      <c r="F163" s="1" t="s">
        <v>55</v>
      </c>
      <c r="G163" s="1">
        <v>19</v>
      </c>
      <c r="H163" s="1" t="s">
        <v>64</v>
      </c>
      <c r="I163" s="1" t="s">
        <v>17</v>
      </c>
      <c r="J163" s="1">
        <v>1</v>
      </c>
      <c r="K163" s="1">
        <v>50.14</v>
      </c>
      <c r="L163" s="1">
        <v>25</v>
      </c>
      <c r="M163" s="16">
        <f t="shared" si="2"/>
        <v>37.605000000000004</v>
      </c>
      <c r="N163" s="1">
        <v>0</v>
      </c>
    </row>
    <row r="164" spans="1:14">
      <c r="A164" s="2">
        <v>45981</v>
      </c>
      <c r="B164" s="1">
        <v>1154</v>
      </c>
      <c r="C164" s="1">
        <v>23</v>
      </c>
      <c r="D164" s="1" t="s">
        <v>78</v>
      </c>
      <c r="E164" s="1" t="s">
        <v>29</v>
      </c>
      <c r="F164" s="1" t="s">
        <v>55</v>
      </c>
      <c r="G164" s="1">
        <v>2</v>
      </c>
      <c r="H164" s="1" t="s">
        <v>80</v>
      </c>
      <c r="I164" s="1" t="s">
        <v>21</v>
      </c>
      <c r="J164" s="1">
        <v>1</v>
      </c>
      <c r="K164" s="1">
        <v>64.02</v>
      </c>
      <c r="L164" s="1">
        <v>20</v>
      </c>
      <c r="M164" s="16">
        <f t="shared" si="2"/>
        <v>51.216000000000001</v>
      </c>
      <c r="N164" s="1">
        <v>0</v>
      </c>
    </row>
    <row r="165" spans="1:14">
      <c r="A165" s="2">
        <v>46015</v>
      </c>
      <c r="B165" s="1">
        <v>1316</v>
      </c>
      <c r="C165" s="1">
        <v>23</v>
      </c>
      <c r="D165" s="1" t="s">
        <v>78</v>
      </c>
      <c r="E165" s="1" t="s">
        <v>29</v>
      </c>
      <c r="F165" s="1" t="s">
        <v>55</v>
      </c>
      <c r="G165" s="1">
        <v>9</v>
      </c>
      <c r="H165" s="1" t="s">
        <v>69</v>
      </c>
      <c r="I165" s="1" t="s">
        <v>33</v>
      </c>
      <c r="J165" s="1">
        <v>1</v>
      </c>
      <c r="K165" s="1">
        <v>20.69</v>
      </c>
      <c r="L165" s="1">
        <v>0</v>
      </c>
      <c r="M165" s="16">
        <f t="shared" si="2"/>
        <v>20.69</v>
      </c>
      <c r="N165" s="1">
        <v>0</v>
      </c>
    </row>
    <row r="166" spans="1:14">
      <c r="A166" s="2">
        <v>46015</v>
      </c>
      <c r="B166" s="1">
        <v>1316</v>
      </c>
      <c r="C166" s="1">
        <v>23</v>
      </c>
      <c r="D166" s="1" t="s">
        <v>78</v>
      </c>
      <c r="E166" s="1" t="s">
        <v>29</v>
      </c>
      <c r="F166" s="1" t="s">
        <v>55</v>
      </c>
      <c r="G166" s="1">
        <v>22</v>
      </c>
      <c r="H166" s="1" t="s">
        <v>75</v>
      </c>
      <c r="I166" s="1" t="s">
        <v>17</v>
      </c>
      <c r="J166" s="1">
        <v>1</v>
      </c>
      <c r="K166" s="1">
        <v>29.98</v>
      </c>
      <c r="L166" s="1">
        <v>0</v>
      </c>
      <c r="M166" s="16">
        <f t="shared" si="2"/>
        <v>29.98</v>
      </c>
      <c r="N166" s="1">
        <v>0</v>
      </c>
    </row>
    <row r="167" spans="1:14">
      <c r="A167" s="2">
        <v>46015</v>
      </c>
      <c r="B167" s="1">
        <v>1316</v>
      </c>
      <c r="C167" s="1">
        <v>23</v>
      </c>
      <c r="D167" s="1" t="s">
        <v>78</v>
      </c>
      <c r="E167" s="1" t="s">
        <v>29</v>
      </c>
      <c r="F167" s="1" t="s">
        <v>55</v>
      </c>
      <c r="G167" s="1">
        <v>28</v>
      </c>
      <c r="H167" s="1" t="s">
        <v>51</v>
      </c>
      <c r="I167" s="1" t="s">
        <v>37</v>
      </c>
      <c r="J167" s="1">
        <v>1</v>
      </c>
      <c r="K167" s="1">
        <v>21.24</v>
      </c>
      <c r="L167" s="1">
        <v>0</v>
      </c>
      <c r="M167" s="16">
        <f t="shared" si="2"/>
        <v>21.24</v>
      </c>
      <c r="N167" s="1">
        <v>0</v>
      </c>
    </row>
    <row r="168" spans="1:14">
      <c r="A168" s="2">
        <v>46266</v>
      </c>
      <c r="B168" s="1">
        <v>1382</v>
      </c>
      <c r="C168" s="1">
        <v>23</v>
      </c>
      <c r="D168" s="1" t="s">
        <v>78</v>
      </c>
      <c r="E168" s="1" t="s">
        <v>29</v>
      </c>
      <c r="F168" s="1" t="s">
        <v>55</v>
      </c>
      <c r="G168" s="1">
        <v>5</v>
      </c>
      <c r="H168" s="1" t="s">
        <v>38</v>
      </c>
      <c r="I168" s="1" t="s">
        <v>21</v>
      </c>
      <c r="J168" s="1">
        <v>1</v>
      </c>
      <c r="K168" s="1">
        <v>42.53</v>
      </c>
      <c r="L168" s="1">
        <v>0</v>
      </c>
      <c r="M168" s="16">
        <f t="shared" si="2"/>
        <v>42.53</v>
      </c>
      <c r="N168" s="1">
        <v>0</v>
      </c>
    </row>
    <row r="169" spans="1:14">
      <c r="A169" s="2">
        <v>46046</v>
      </c>
      <c r="B169" s="1">
        <v>1044</v>
      </c>
      <c r="C169" s="1">
        <v>23</v>
      </c>
      <c r="D169" s="1" t="s">
        <v>78</v>
      </c>
      <c r="E169" s="1" t="s">
        <v>29</v>
      </c>
      <c r="F169" s="1" t="s">
        <v>55</v>
      </c>
      <c r="G169" s="1">
        <v>3</v>
      </c>
      <c r="H169" s="1" t="s">
        <v>59</v>
      </c>
      <c r="I169" s="1" t="s">
        <v>21</v>
      </c>
      <c r="J169" s="1">
        <v>1</v>
      </c>
      <c r="K169" s="1">
        <v>25.47</v>
      </c>
      <c r="L169" s="1">
        <v>0</v>
      </c>
      <c r="M169" s="16">
        <f t="shared" si="2"/>
        <v>25.47</v>
      </c>
      <c r="N169" s="1">
        <v>0</v>
      </c>
    </row>
    <row r="170" spans="1:14">
      <c r="A170" s="2">
        <v>46046</v>
      </c>
      <c r="B170" s="1">
        <v>1425</v>
      </c>
      <c r="C170" s="1">
        <v>23</v>
      </c>
      <c r="D170" s="1" t="s">
        <v>78</v>
      </c>
      <c r="E170" s="1" t="s">
        <v>29</v>
      </c>
      <c r="F170" s="1" t="s">
        <v>55</v>
      </c>
      <c r="G170" s="1">
        <v>25</v>
      </c>
      <c r="H170" s="1" t="s">
        <v>214</v>
      </c>
      <c r="I170" s="1" t="s">
        <v>37</v>
      </c>
      <c r="J170" s="1">
        <v>2</v>
      </c>
      <c r="K170" s="1">
        <v>38.869999999999997</v>
      </c>
      <c r="L170" s="1">
        <v>0</v>
      </c>
      <c r="M170" s="16">
        <f t="shared" si="2"/>
        <v>77.739999999999995</v>
      </c>
      <c r="N170" s="1">
        <v>0</v>
      </c>
    </row>
    <row r="171" spans="1:14">
      <c r="A171" s="2">
        <v>46046</v>
      </c>
      <c r="B171" s="1">
        <v>1044</v>
      </c>
      <c r="C171" s="1">
        <v>23</v>
      </c>
      <c r="D171" s="1" t="s">
        <v>78</v>
      </c>
      <c r="E171" s="1" t="s">
        <v>146</v>
      </c>
      <c r="F171" s="1" t="s">
        <v>55</v>
      </c>
      <c r="G171" s="1">
        <v>25</v>
      </c>
      <c r="H171" s="1" t="s">
        <v>214</v>
      </c>
      <c r="I171" s="1" t="s">
        <v>37</v>
      </c>
      <c r="J171" s="1">
        <v>1</v>
      </c>
      <c r="K171" s="1">
        <v>17.78</v>
      </c>
      <c r="L171" s="1">
        <v>0</v>
      </c>
      <c r="M171" s="16">
        <f t="shared" si="2"/>
        <v>17.78</v>
      </c>
      <c r="N171" s="1">
        <v>0</v>
      </c>
    </row>
    <row r="172" spans="1:14">
      <c r="A172" s="2">
        <v>46046</v>
      </c>
      <c r="B172" s="1">
        <v>1425</v>
      </c>
      <c r="C172" s="1">
        <v>23</v>
      </c>
      <c r="D172" s="1" t="s">
        <v>78</v>
      </c>
      <c r="E172" s="1" t="s">
        <v>29</v>
      </c>
      <c r="F172" s="1" t="s">
        <v>55</v>
      </c>
      <c r="G172" s="1">
        <v>10</v>
      </c>
      <c r="H172" s="1" t="s">
        <v>32</v>
      </c>
      <c r="I172" s="1" t="s">
        <v>33</v>
      </c>
      <c r="J172" s="1">
        <v>1</v>
      </c>
      <c r="K172" s="1">
        <v>62.68</v>
      </c>
      <c r="L172" s="1">
        <v>0</v>
      </c>
      <c r="M172" s="16">
        <f t="shared" si="2"/>
        <v>62.68</v>
      </c>
      <c r="N172" s="1">
        <v>0</v>
      </c>
    </row>
    <row r="173" spans="1:14">
      <c r="A173" s="2">
        <v>46266</v>
      </c>
      <c r="B173" s="1">
        <v>1382</v>
      </c>
      <c r="C173" s="1">
        <f>_xlfn.XLOOKUP(D173,'Customer Data'!B:B,'Customer Data'!A:A,"Not Found")</f>
        <v>23</v>
      </c>
      <c r="D173" s="1" t="s">
        <v>78</v>
      </c>
      <c r="E173" s="1" t="s">
        <v>29</v>
      </c>
      <c r="F173" s="1" t="s">
        <v>55</v>
      </c>
      <c r="G173" s="1">
        <v>30</v>
      </c>
      <c r="H173" s="1" t="s">
        <v>57</v>
      </c>
      <c r="I173" s="1" t="s">
        <v>31</v>
      </c>
      <c r="J173" s="1">
        <v>1</v>
      </c>
      <c r="K173" s="1">
        <v>41.49</v>
      </c>
      <c r="L173" s="1">
        <v>0</v>
      </c>
      <c r="M173" s="16">
        <f t="shared" si="2"/>
        <v>41.49</v>
      </c>
      <c r="N173" s="1">
        <v>0</v>
      </c>
    </row>
    <row r="174" spans="1:14">
      <c r="A174" s="2">
        <v>45911</v>
      </c>
      <c r="B174" s="1">
        <v>1095</v>
      </c>
      <c r="C174" s="1">
        <v>24</v>
      </c>
      <c r="D174" s="1" t="s">
        <v>117</v>
      </c>
      <c r="E174" s="1" t="s">
        <v>40</v>
      </c>
      <c r="F174" s="1" t="s">
        <v>55</v>
      </c>
      <c r="G174" s="1">
        <v>19</v>
      </c>
      <c r="H174" s="1" t="s">
        <v>64</v>
      </c>
      <c r="I174" s="1" t="s">
        <v>17</v>
      </c>
      <c r="J174" s="1">
        <v>1</v>
      </c>
      <c r="K174" s="1">
        <v>50.14</v>
      </c>
      <c r="L174" s="1">
        <v>0</v>
      </c>
      <c r="M174" s="16">
        <f t="shared" si="2"/>
        <v>50.14</v>
      </c>
      <c r="N174" s="1">
        <v>0</v>
      </c>
    </row>
    <row r="175" spans="1:14">
      <c r="A175" s="2">
        <v>45970</v>
      </c>
      <c r="B175" s="1">
        <v>1044</v>
      </c>
      <c r="C175" s="1">
        <v>24</v>
      </c>
      <c r="D175" s="1" t="s">
        <v>117</v>
      </c>
      <c r="E175" s="1" t="s">
        <v>40</v>
      </c>
      <c r="F175" s="1" t="s">
        <v>55</v>
      </c>
      <c r="G175" s="1">
        <v>26</v>
      </c>
      <c r="H175" s="1" t="s">
        <v>83</v>
      </c>
      <c r="I175" s="1" t="s">
        <v>37</v>
      </c>
      <c r="J175" s="1">
        <v>1</v>
      </c>
      <c r="K175" s="1">
        <v>31.76</v>
      </c>
      <c r="L175" s="1">
        <v>0</v>
      </c>
      <c r="M175" s="16">
        <f t="shared" si="2"/>
        <v>31.76</v>
      </c>
      <c r="N175" s="1">
        <v>0</v>
      </c>
    </row>
    <row r="176" spans="1:14">
      <c r="A176" s="2">
        <v>45911</v>
      </c>
      <c r="B176" s="1">
        <v>1095</v>
      </c>
      <c r="C176" s="1">
        <v>24</v>
      </c>
      <c r="D176" s="1" t="s">
        <v>117</v>
      </c>
      <c r="E176" s="1" t="s">
        <v>40</v>
      </c>
      <c r="F176" s="1" t="s">
        <v>55</v>
      </c>
      <c r="G176" s="1">
        <v>17</v>
      </c>
      <c r="H176" s="1" t="s">
        <v>60</v>
      </c>
      <c r="I176" s="1" t="s">
        <v>17</v>
      </c>
      <c r="J176" s="1">
        <v>1</v>
      </c>
      <c r="K176" s="1">
        <v>6.61</v>
      </c>
      <c r="L176" s="1">
        <v>0</v>
      </c>
      <c r="M176" s="16">
        <f t="shared" si="2"/>
        <v>6.61</v>
      </c>
      <c r="N176" s="1">
        <v>0</v>
      </c>
    </row>
    <row r="177" spans="1:14">
      <c r="A177" s="2">
        <v>46016</v>
      </c>
      <c r="B177" s="1">
        <v>1095</v>
      </c>
      <c r="C177" s="1">
        <v>24</v>
      </c>
      <c r="D177" s="1" t="s">
        <v>117</v>
      </c>
      <c r="E177" s="1" t="s">
        <v>40</v>
      </c>
      <c r="F177" s="1" t="s">
        <v>55</v>
      </c>
      <c r="G177" s="1">
        <v>5</v>
      </c>
      <c r="H177" s="1" t="s">
        <v>38</v>
      </c>
      <c r="I177" s="1" t="s">
        <v>21</v>
      </c>
      <c r="J177" s="1">
        <v>2</v>
      </c>
      <c r="K177" s="1">
        <v>42.53</v>
      </c>
      <c r="L177" s="1">
        <v>0</v>
      </c>
      <c r="M177" s="16">
        <f t="shared" si="2"/>
        <v>85.06</v>
      </c>
      <c r="N177" s="1">
        <v>0</v>
      </c>
    </row>
    <row r="178" spans="1:14">
      <c r="A178" s="2">
        <v>46015</v>
      </c>
      <c r="B178" s="1">
        <v>1317</v>
      </c>
      <c r="C178" s="1">
        <v>24</v>
      </c>
      <c r="D178" s="1" t="s">
        <v>117</v>
      </c>
      <c r="E178" s="1" t="s">
        <v>40</v>
      </c>
      <c r="F178" s="1" t="s">
        <v>55</v>
      </c>
      <c r="G178" s="1">
        <v>21</v>
      </c>
      <c r="H178" s="1" t="s">
        <v>97</v>
      </c>
      <c r="I178" s="1" t="s">
        <v>17</v>
      </c>
      <c r="J178" s="1">
        <v>1</v>
      </c>
      <c r="K178" s="1">
        <v>49.37</v>
      </c>
      <c r="L178" s="1">
        <v>5.5</v>
      </c>
      <c r="M178" s="16">
        <f t="shared" si="2"/>
        <v>46.654649999999997</v>
      </c>
      <c r="N178" s="1">
        <v>0</v>
      </c>
    </row>
    <row r="179" spans="1:14">
      <c r="A179" s="2">
        <v>46015</v>
      </c>
      <c r="B179" s="1">
        <v>1317</v>
      </c>
      <c r="C179" s="1">
        <v>24</v>
      </c>
      <c r="D179" s="1" t="s">
        <v>117</v>
      </c>
      <c r="E179" s="1" t="s">
        <v>40</v>
      </c>
      <c r="F179" s="1" t="s">
        <v>55</v>
      </c>
      <c r="G179" s="1">
        <v>12</v>
      </c>
      <c r="H179" s="1" t="s">
        <v>215</v>
      </c>
      <c r="I179" s="14" t="str">
        <f>_xlfn.XLOOKUP(H179,'Product Data'!$B$2:$B$100,'Product Data'!$C$2:$C$100,"Not Found")</f>
        <v>Electronics</v>
      </c>
      <c r="J179" s="1">
        <v>1</v>
      </c>
      <c r="K179" s="1">
        <v>8.4499999999999993</v>
      </c>
      <c r="L179" s="1">
        <v>0</v>
      </c>
      <c r="M179" s="16">
        <f t="shared" si="2"/>
        <v>8.4499999999999993</v>
      </c>
      <c r="N179" s="1">
        <v>0</v>
      </c>
    </row>
    <row r="180" spans="1:14">
      <c r="A180" s="2">
        <v>46015</v>
      </c>
      <c r="B180" s="1">
        <v>1317</v>
      </c>
      <c r="C180" s="1">
        <v>24</v>
      </c>
      <c r="D180" s="1" t="s">
        <v>117</v>
      </c>
      <c r="E180" s="1" t="s">
        <v>40</v>
      </c>
      <c r="F180" s="1" t="s">
        <v>55</v>
      </c>
      <c r="G180" s="1">
        <v>35</v>
      </c>
      <c r="H180" s="1" t="s">
        <v>104</v>
      </c>
      <c r="I180" s="14" t="str">
        <f>_xlfn.XLOOKUP(H180,'Product Data'!$B$2:$B$100,'Product Data'!$C$2:$C$100,"Not Found")</f>
        <v>Toys</v>
      </c>
      <c r="J180" s="1">
        <v>1</v>
      </c>
      <c r="K180" s="1">
        <v>11.3</v>
      </c>
      <c r="L180" s="1">
        <v>0</v>
      </c>
      <c r="M180" s="16">
        <f t="shared" si="2"/>
        <v>11.3</v>
      </c>
      <c r="N180" s="1">
        <v>0</v>
      </c>
    </row>
    <row r="181" spans="1:14">
      <c r="A181" s="2">
        <v>46020</v>
      </c>
      <c r="B181" s="1">
        <v>1348</v>
      </c>
      <c r="C181" s="1">
        <v>24</v>
      </c>
      <c r="D181" s="1" t="s">
        <v>117</v>
      </c>
      <c r="E181" s="1" t="s">
        <v>40</v>
      </c>
      <c r="F181" s="1" t="s">
        <v>55</v>
      </c>
      <c r="G181" s="1">
        <v>36</v>
      </c>
      <c r="H181" s="1" t="s">
        <v>62</v>
      </c>
      <c r="I181" s="1" t="s">
        <v>27</v>
      </c>
      <c r="J181" s="1">
        <v>1</v>
      </c>
      <c r="K181" s="1">
        <v>23.23</v>
      </c>
      <c r="L181" s="1">
        <v>0</v>
      </c>
      <c r="M181" s="16">
        <f t="shared" si="2"/>
        <v>23.23</v>
      </c>
      <c r="N181" s="1">
        <v>0</v>
      </c>
    </row>
    <row r="182" spans="1:14">
      <c r="A182" s="2">
        <v>46080</v>
      </c>
      <c r="B182" s="1">
        <v>1535</v>
      </c>
      <c r="C182" s="1">
        <v>24</v>
      </c>
      <c r="D182" s="1" t="s">
        <v>117</v>
      </c>
      <c r="E182" s="1" t="s">
        <v>40</v>
      </c>
      <c r="F182" s="1" t="s">
        <v>55</v>
      </c>
      <c r="G182" s="1">
        <v>15</v>
      </c>
      <c r="H182" s="1" t="s">
        <v>48</v>
      </c>
      <c r="I182" s="1" t="s">
        <v>33</v>
      </c>
      <c r="J182" s="1">
        <v>1</v>
      </c>
      <c r="K182" s="1">
        <v>47.71</v>
      </c>
      <c r="L182" s="1">
        <v>0</v>
      </c>
      <c r="M182" s="16">
        <f t="shared" si="2"/>
        <v>47.71</v>
      </c>
      <c r="N182" s="1">
        <v>0</v>
      </c>
    </row>
    <row r="183" spans="1:14">
      <c r="A183" s="2">
        <v>46080</v>
      </c>
      <c r="B183" s="1">
        <v>1535</v>
      </c>
      <c r="C183" s="1">
        <v>24</v>
      </c>
      <c r="D183" s="1" t="s">
        <v>117</v>
      </c>
      <c r="E183" s="1" t="s">
        <v>40</v>
      </c>
      <c r="F183" s="1" t="s">
        <v>55</v>
      </c>
      <c r="G183" s="1">
        <v>19</v>
      </c>
      <c r="H183" s="1" t="s">
        <v>64</v>
      </c>
      <c r="I183" s="1" t="s">
        <v>17</v>
      </c>
      <c r="J183" s="1">
        <v>2</v>
      </c>
      <c r="K183" s="1">
        <v>50.14</v>
      </c>
      <c r="L183" s="1">
        <v>0</v>
      </c>
      <c r="M183" s="16">
        <f t="shared" si="2"/>
        <v>100.28</v>
      </c>
      <c r="N183" s="1">
        <v>0</v>
      </c>
    </row>
    <row r="184" spans="1:14">
      <c r="A184" s="2">
        <v>46080</v>
      </c>
      <c r="B184" s="1">
        <v>1535</v>
      </c>
      <c r="C184" s="1">
        <v>24</v>
      </c>
      <c r="D184" s="1" t="s">
        <v>117</v>
      </c>
      <c r="E184" s="1" t="s">
        <v>40</v>
      </c>
      <c r="F184" s="1" t="s">
        <v>55</v>
      </c>
      <c r="G184" s="1">
        <v>27</v>
      </c>
      <c r="H184" s="1" t="s">
        <v>89</v>
      </c>
      <c r="I184" s="1" t="s">
        <v>37</v>
      </c>
      <c r="J184" s="1">
        <v>1</v>
      </c>
      <c r="K184" s="1">
        <v>27.3</v>
      </c>
      <c r="L184" s="1">
        <v>5.5</v>
      </c>
      <c r="M184" s="16">
        <f t="shared" si="2"/>
        <v>25.798500000000001</v>
      </c>
      <c r="N184" s="1">
        <v>0</v>
      </c>
    </row>
    <row r="185" spans="1:14">
      <c r="A185" s="2">
        <v>46080</v>
      </c>
      <c r="B185" s="1">
        <v>1535</v>
      </c>
      <c r="C185" s="1">
        <v>24</v>
      </c>
      <c r="D185" s="1" t="s">
        <v>117</v>
      </c>
      <c r="E185" s="1" t="s">
        <v>40</v>
      </c>
      <c r="F185" s="1" t="s">
        <v>55</v>
      </c>
      <c r="G185" s="1">
        <v>27</v>
      </c>
      <c r="H185" s="1" t="s">
        <v>89</v>
      </c>
      <c r="I185" s="1" t="s">
        <v>37</v>
      </c>
      <c r="J185" s="1">
        <v>3</v>
      </c>
      <c r="K185" s="1">
        <v>27.3</v>
      </c>
      <c r="L185" s="1">
        <v>0</v>
      </c>
      <c r="M185" s="16">
        <f t="shared" si="2"/>
        <v>81.900000000000006</v>
      </c>
      <c r="N185" s="1">
        <v>0</v>
      </c>
    </row>
    <row r="186" spans="1:14">
      <c r="A186" s="2">
        <v>46020</v>
      </c>
      <c r="B186" s="1">
        <v>1348</v>
      </c>
      <c r="C186" s="1">
        <f>_xlfn.XLOOKUP(D186,'Customer Data'!B:B,'Customer Data'!A:A,"Not Found")</f>
        <v>24</v>
      </c>
      <c r="D186" s="1" t="s">
        <v>117</v>
      </c>
      <c r="E186" s="1" t="s">
        <v>40</v>
      </c>
      <c r="F186" s="1" t="s">
        <v>55</v>
      </c>
      <c r="G186" s="1">
        <v>18</v>
      </c>
      <c r="H186" s="1" t="s">
        <v>23</v>
      </c>
      <c r="I186" s="1" t="s">
        <v>17</v>
      </c>
      <c r="J186" s="1">
        <v>1</v>
      </c>
      <c r="K186" s="1">
        <v>44.01</v>
      </c>
      <c r="L186" s="1">
        <v>0</v>
      </c>
      <c r="M186" s="16">
        <f t="shared" si="2"/>
        <v>44.01</v>
      </c>
      <c r="N186" s="1">
        <v>0</v>
      </c>
    </row>
    <row r="187" spans="1:14">
      <c r="A187" s="2">
        <v>45955</v>
      </c>
      <c r="B187" s="1">
        <v>1048</v>
      </c>
      <c r="C187" s="1">
        <v>25</v>
      </c>
      <c r="D187" s="1" t="s">
        <v>100</v>
      </c>
      <c r="E187" s="1" t="s">
        <v>40</v>
      </c>
      <c r="F187" s="1" t="s">
        <v>74</v>
      </c>
      <c r="G187" s="1">
        <v>31</v>
      </c>
      <c r="H187" s="1" t="s">
        <v>30</v>
      </c>
      <c r="I187" s="1" t="s">
        <v>31</v>
      </c>
      <c r="J187" s="1">
        <v>1</v>
      </c>
      <c r="K187" s="1">
        <v>38.869999999999997</v>
      </c>
      <c r="L187" s="1">
        <v>0</v>
      </c>
      <c r="M187" s="16">
        <f t="shared" si="2"/>
        <v>38.869999999999997</v>
      </c>
      <c r="N187" s="1">
        <v>0</v>
      </c>
    </row>
    <row r="188" spans="1:14">
      <c r="A188" s="2">
        <v>45955</v>
      </c>
      <c r="B188" s="1">
        <v>1048</v>
      </c>
      <c r="C188" s="1">
        <v>25</v>
      </c>
      <c r="D188" s="1" t="s">
        <v>100</v>
      </c>
      <c r="E188" s="1" t="s">
        <v>40</v>
      </c>
      <c r="F188" s="1" t="s">
        <v>74</v>
      </c>
      <c r="G188" s="1">
        <v>22</v>
      </c>
      <c r="H188" s="1" t="s">
        <v>75</v>
      </c>
      <c r="I188" s="1" t="s">
        <v>17</v>
      </c>
      <c r="J188" s="1">
        <v>1</v>
      </c>
      <c r="K188" s="1">
        <v>29.98</v>
      </c>
      <c r="L188" s="1">
        <v>0</v>
      </c>
      <c r="M188" s="16">
        <f t="shared" si="2"/>
        <v>29.98</v>
      </c>
      <c r="N188" s="1">
        <v>0</v>
      </c>
    </row>
    <row r="189" spans="1:14">
      <c r="A189" s="2">
        <v>45987</v>
      </c>
      <c r="B189" s="1">
        <v>1179</v>
      </c>
      <c r="C189" s="1">
        <v>25</v>
      </c>
      <c r="D189" s="1" t="s">
        <v>100</v>
      </c>
      <c r="E189" s="1" t="s">
        <v>40</v>
      </c>
      <c r="F189" s="1" t="s">
        <v>74</v>
      </c>
      <c r="G189" s="1">
        <v>3</v>
      </c>
      <c r="H189" s="1" t="s">
        <v>59</v>
      </c>
      <c r="I189" s="14" t="str">
        <f>_xlfn.XLOOKUP(H189,'Product Data'!$B$2:$B$100,'Product Data'!$C$2:$C$100,"Not Found")</f>
        <v>Apparel</v>
      </c>
      <c r="J189" s="1">
        <v>2</v>
      </c>
      <c r="K189" s="1">
        <v>25.47</v>
      </c>
      <c r="L189" s="1">
        <v>15</v>
      </c>
      <c r="M189" s="16">
        <f t="shared" si="2"/>
        <v>43.298999999999999</v>
      </c>
      <c r="N189" s="1">
        <v>0</v>
      </c>
    </row>
    <row r="190" spans="1:14">
      <c r="A190" s="2">
        <v>46003</v>
      </c>
      <c r="B190" s="1">
        <v>1262</v>
      </c>
      <c r="C190" s="1">
        <v>25</v>
      </c>
      <c r="D190" s="1" t="s">
        <v>100</v>
      </c>
      <c r="E190" s="1" t="s">
        <v>40</v>
      </c>
      <c r="F190" s="1" t="s">
        <v>74</v>
      </c>
      <c r="G190" s="1">
        <v>36</v>
      </c>
      <c r="H190" s="1" t="s">
        <v>62</v>
      </c>
      <c r="I190" s="1" t="s">
        <v>27</v>
      </c>
      <c r="J190" s="1">
        <v>1</v>
      </c>
      <c r="K190" s="1">
        <v>23.23</v>
      </c>
      <c r="L190" s="1">
        <v>0</v>
      </c>
      <c r="M190" s="16">
        <f t="shared" si="2"/>
        <v>23.23</v>
      </c>
      <c r="N190" s="1">
        <v>0</v>
      </c>
    </row>
    <row r="191" spans="1:14">
      <c r="A191" s="2">
        <v>46003</v>
      </c>
      <c r="B191" s="1">
        <v>1262</v>
      </c>
      <c r="C191" s="1">
        <v>25</v>
      </c>
      <c r="D191" s="1" t="s">
        <v>100</v>
      </c>
      <c r="E191" s="1" t="s">
        <v>40</v>
      </c>
      <c r="F191" s="1" t="s">
        <v>74</v>
      </c>
      <c r="G191" s="1">
        <v>35</v>
      </c>
      <c r="H191" s="1" t="s">
        <v>104</v>
      </c>
      <c r="I191" s="1" t="s">
        <v>27</v>
      </c>
      <c r="J191" s="1">
        <v>2</v>
      </c>
      <c r="K191" s="1">
        <v>11.3</v>
      </c>
      <c r="L191" s="1">
        <v>0</v>
      </c>
      <c r="M191" s="16">
        <f t="shared" si="2"/>
        <v>22.6</v>
      </c>
      <c r="N191" s="1">
        <v>1</v>
      </c>
    </row>
    <row r="192" spans="1:14">
      <c r="A192" s="2">
        <v>46075</v>
      </c>
      <c r="B192" s="1">
        <v>1517</v>
      </c>
      <c r="C192" s="1">
        <v>25</v>
      </c>
      <c r="D192" s="1" t="s">
        <v>100</v>
      </c>
      <c r="E192" s="1" t="s">
        <v>40</v>
      </c>
      <c r="F192" s="1" t="s">
        <v>74</v>
      </c>
      <c r="G192" s="1">
        <v>34</v>
      </c>
      <c r="H192" s="1" t="s">
        <v>130</v>
      </c>
      <c r="I192" s="1" t="s">
        <v>31</v>
      </c>
      <c r="J192" s="1">
        <v>1</v>
      </c>
      <c r="K192" s="1">
        <v>58.26</v>
      </c>
      <c r="L192" s="1">
        <v>0</v>
      </c>
      <c r="M192" s="16">
        <f t="shared" si="2"/>
        <v>58.26</v>
      </c>
      <c r="N192" s="1">
        <v>0</v>
      </c>
    </row>
    <row r="193" spans="1:14">
      <c r="A193" s="2">
        <v>45949</v>
      </c>
      <c r="B193" s="1">
        <v>1028</v>
      </c>
      <c r="C193" s="1">
        <v>26</v>
      </c>
      <c r="D193" s="1" t="s">
        <v>79</v>
      </c>
      <c r="E193" s="1" t="s">
        <v>40</v>
      </c>
      <c r="F193" s="1" t="s">
        <v>74</v>
      </c>
      <c r="G193" s="1">
        <v>2</v>
      </c>
      <c r="H193" s="1" t="s">
        <v>80</v>
      </c>
      <c r="I193" s="1" t="s">
        <v>21</v>
      </c>
      <c r="J193" s="1">
        <v>1</v>
      </c>
      <c r="K193" s="1">
        <v>64.02</v>
      </c>
      <c r="L193" s="1">
        <v>0</v>
      </c>
      <c r="M193" s="16">
        <f t="shared" si="2"/>
        <v>64.02</v>
      </c>
      <c r="N193" s="1">
        <v>0</v>
      </c>
    </row>
    <row r="194" spans="1:14">
      <c r="A194" s="2">
        <v>45991</v>
      </c>
      <c r="B194" s="1">
        <v>1199</v>
      </c>
      <c r="C194" s="1">
        <v>26</v>
      </c>
      <c r="D194" s="1" t="s">
        <v>79</v>
      </c>
      <c r="E194" s="1" t="s">
        <v>40</v>
      </c>
      <c r="F194" s="1" t="s">
        <v>74</v>
      </c>
      <c r="G194" s="1">
        <v>5</v>
      </c>
      <c r="H194" s="1" t="s">
        <v>38</v>
      </c>
      <c r="I194" s="1" t="s">
        <v>21</v>
      </c>
      <c r="J194" s="1">
        <v>1</v>
      </c>
      <c r="K194" s="1">
        <v>42.53</v>
      </c>
      <c r="L194" s="1">
        <v>0</v>
      </c>
      <c r="M194" s="16">
        <f t="shared" si="2"/>
        <v>42.53</v>
      </c>
      <c r="N194" s="1">
        <v>0</v>
      </c>
    </row>
    <row r="195" spans="1:14">
      <c r="A195" s="2">
        <v>46204</v>
      </c>
      <c r="B195" s="1">
        <v>1375</v>
      </c>
      <c r="C195" s="1">
        <v>26</v>
      </c>
      <c r="D195" s="1" t="s">
        <v>79</v>
      </c>
      <c r="E195" s="1" t="s">
        <v>40</v>
      </c>
      <c r="F195" s="1" t="s">
        <v>74</v>
      </c>
      <c r="G195" s="1">
        <v>5</v>
      </c>
      <c r="H195" s="1" t="s">
        <v>38</v>
      </c>
      <c r="I195" s="1" t="s">
        <v>21</v>
      </c>
      <c r="J195" s="1">
        <v>1</v>
      </c>
      <c r="K195" s="1">
        <v>42.53</v>
      </c>
      <c r="L195" s="1">
        <v>0</v>
      </c>
      <c r="M195" s="16">
        <f t="shared" ref="M195:M258" si="3">J195*K195*(1-L195/100)</f>
        <v>42.53</v>
      </c>
      <c r="N195" s="1">
        <v>0</v>
      </c>
    </row>
    <row r="196" spans="1:14">
      <c r="A196" s="2">
        <v>45984</v>
      </c>
      <c r="B196" s="1">
        <v>1166</v>
      </c>
      <c r="C196" s="1">
        <v>27</v>
      </c>
      <c r="D196" s="1" t="s">
        <v>143</v>
      </c>
      <c r="E196" s="1" t="s">
        <v>29</v>
      </c>
      <c r="F196" s="1" t="s">
        <v>55</v>
      </c>
      <c r="G196" s="1">
        <v>3</v>
      </c>
      <c r="H196" s="1" t="s">
        <v>59</v>
      </c>
      <c r="I196" s="1" t="s">
        <v>21</v>
      </c>
      <c r="J196" s="1">
        <v>1</v>
      </c>
      <c r="K196" s="1">
        <v>25.47</v>
      </c>
      <c r="L196" s="1">
        <v>0</v>
      </c>
      <c r="M196" s="16">
        <f t="shared" si="3"/>
        <v>25.47</v>
      </c>
      <c r="N196" s="1">
        <v>0</v>
      </c>
    </row>
    <row r="197" spans="1:14">
      <c r="A197" s="2">
        <v>46082</v>
      </c>
      <c r="B197" s="1">
        <v>1368</v>
      </c>
      <c r="C197" s="1">
        <v>27</v>
      </c>
      <c r="D197" s="1" t="s">
        <v>143</v>
      </c>
      <c r="E197" s="1" t="s">
        <v>29</v>
      </c>
      <c r="F197" s="1" t="s">
        <v>55</v>
      </c>
      <c r="G197" s="1">
        <v>39</v>
      </c>
      <c r="H197" s="1" t="s">
        <v>36</v>
      </c>
      <c r="I197" s="1" t="s">
        <v>27</v>
      </c>
      <c r="J197" s="1">
        <v>2</v>
      </c>
      <c r="K197" s="1">
        <v>39.979999999999997</v>
      </c>
      <c r="L197" s="1">
        <v>0</v>
      </c>
      <c r="M197" s="16">
        <f t="shared" si="3"/>
        <v>79.959999999999994</v>
      </c>
      <c r="N197" s="1">
        <v>0</v>
      </c>
    </row>
    <row r="198" spans="1:14">
      <c r="A198" s="2">
        <v>45669</v>
      </c>
      <c r="B198" s="1">
        <v>1044</v>
      </c>
      <c r="C198" s="1">
        <v>28</v>
      </c>
      <c r="D198" s="1" t="s">
        <v>150</v>
      </c>
      <c r="E198" s="1" t="s">
        <v>68</v>
      </c>
      <c r="F198" s="1" t="s">
        <v>55</v>
      </c>
      <c r="G198" s="1">
        <v>26</v>
      </c>
      <c r="H198" s="1" t="s">
        <v>83</v>
      </c>
      <c r="I198" s="1" t="s">
        <v>37</v>
      </c>
      <c r="J198" s="1">
        <v>1</v>
      </c>
      <c r="K198" s="1">
        <v>31.76</v>
      </c>
      <c r="L198" s="1">
        <v>0</v>
      </c>
      <c r="M198" s="16">
        <f t="shared" si="3"/>
        <v>31.76</v>
      </c>
      <c r="N198" s="1">
        <v>0</v>
      </c>
    </row>
    <row r="199" spans="1:14">
      <c r="A199" s="2">
        <v>46018</v>
      </c>
      <c r="B199" s="1">
        <v>1336</v>
      </c>
      <c r="C199" s="1">
        <v>28</v>
      </c>
      <c r="D199" s="1" t="s">
        <v>150</v>
      </c>
      <c r="E199" s="1" t="s">
        <v>68</v>
      </c>
      <c r="F199" s="1" t="s">
        <v>55</v>
      </c>
      <c r="G199" s="1">
        <v>28</v>
      </c>
      <c r="H199" s="1" t="s">
        <v>51</v>
      </c>
      <c r="I199" s="1" t="s">
        <v>37</v>
      </c>
      <c r="J199" s="1">
        <v>1</v>
      </c>
      <c r="K199" s="1">
        <v>21.24</v>
      </c>
      <c r="L199" s="1">
        <v>15</v>
      </c>
      <c r="M199" s="16">
        <f t="shared" si="3"/>
        <v>18.053999999999998</v>
      </c>
      <c r="N199" s="1">
        <v>0</v>
      </c>
    </row>
    <row r="200" spans="1:14">
      <c r="A200" s="2">
        <v>46018</v>
      </c>
      <c r="B200" s="1">
        <v>1336</v>
      </c>
      <c r="C200" s="1">
        <v>28</v>
      </c>
      <c r="D200" s="1" t="s">
        <v>150</v>
      </c>
      <c r="E200" s="1" t="s">
        <v>68</v>
      </c>
      <c r="F200" s="1" t="s">
        <v>55</v>
      </c>
      <c r="G200" s="1">
        <v>35</v>
      </c>
      <c r="H200" s="1" t="s">
        <v>104</v>
      </c>
      <c r="I200" s="1" t="s">
        <v>27</v>
      </c>
      <c r="J200" s="1">
        <v>2</v>
      </c>
      <c r="K200" s="1">
        <v>11.3</v>
      </c>
      <c r="L200" s="1">
        <v>25</v>
      </c>
      <c r="M200" s="16">
        <f t="shared" si="3"/>
        <v>16.950000000000003</v>
      </c>
      <c r="N200" s="1">
        <v>0</v>
      </c>
    </row>
    <row r="201" spans="1:14">
      <c r="A201" s="2">
        <v>45961</v>
      </c>
      <c r="B201" s="1">
        <v>1058</v>
      </c>
      <c r="C201" s="1">
        <v>29</v>
      </c>
      <c r="D201" s="1" t="s">
        <v>108</v>
      </c>
      <c r="E201" s="1" t="s">
        <v>29</v>
      </c>
      <c r="F201" s="1" t="s">
        <v>35</v>
      </c>
      <c r="G201" s="1">
        <v>14</v>
      </c>
      <c r="H201" s="1" t="s">
        <v>105</v>
      </c>
      <c r="I201" s="1" t="s">
        <v>33</v>
      </c>
      <c r="J201" s="1">
        <v>2</v>
      </c>
      <c r="K201" s="1">
        <v>15.36</v>
      </c>
      <c r="L201" s="1">
        <v>0</v>
      </c>
      <c r="M201" s="16">
        <f t="shared" si="3"/>
        <v>30.72</v>
      </c>
      <c r="N201" s="1">
        <v>0</v>
      </c>
    </row>
    <row r="202" spans="1:14">
      <c r="A202" s="2">
        <v>46357</v>
      </c>
      <c r="B202" s="1">
        <v>1395</v>
      </c>
      <c r="C202" s="1">
        <v>29</v>
      </c>
      <c r="D202" s="1" t="s">
        <v>108</v>
      </c>
      <c r="E202" s="1" t="s">
        <v>29</v>
      </c>
      <c r="F202" s="1" t="s">
        <v>35</v>
      </c>
      <c r="G202" s="1">
        <v>38</v>
      </c>
      <c r="H202" s="1" t="s">
        <v>70</v>
      </c>
      <c r="I202" s="1" t="s">
        <v>27</v>
      </c>
      <c r="J202" s="1">
        <v>3</v>
      </c>
      <c r="K202" s="1">
        <v>25.14</v>
      </c>
      <c r="L202" s="1">
        <v>0</v>
      </c>
      <c r="M202" s="16">
        <f t="shared" si="3"/>
        <v>75.42</v>
      </c>
      <c r="N202" s="1">
        <v>0</v>
      </c>
    </row>
    <row r="203" spans="1:14">
      <c r="A203" s="2">
        <v>46357</v>
      </c>
      <c r="B203" s="1">
        <v>1395</v>
      </c>
      <c r="C203" s="1">
        <v>29</v>
      </c>
      <c r="D203" s="1" t="s">
        <v>108</v>
      </c>
      <c r="E203" s="1" t="s">
        <v>29</v>
      </c>
      <c r="F203" s="1" t="s">
        <v>35</v>
      </c>
      <c r="G203" s="1">
        <v>2</v>
      </c>
      <c r="H203" s="1" t="s">
        <v>80</v>
      </c>
      <c r="I203" s="1" t="s">
        <v>21</v>
      </c>
      <c r="J203" s="1">
        <v>1</v>
      </c>
      <c r="K203" s="1">
        <v>64.02</v>
      </c>
      <c r="L203" s="1">
        <v>0</v>
      </c>
      <c r="M203" s="16">
        <f t="shared" si="3"/>
        <v>64.02</v>
      </c>
      <c r="N203" s="1">
        <v>0</v>
      </c>
    </row>
    <row r="204" spans="1:14">
      <c r="A204" s="2">
        <v>45972</v>
      </c>
      <c r="B204" s="1">
        <v>1110</v>
      </c>
      <c r="C204" s="1">
        <v>32</v>
      </c>
      <c r="D204" s="1" t="s">
        <v>124</v>
      </c>
      <c r="E204" s="1" t="s">
        <v>29</v>
      </c>
      <c r="F204" s="1" t="s">
        <v>35</v>
      </c>
      <c r="G204" s="1">
        <v>13</v>
      </c>
      <c r="H204" s="1" t="s">
        <v>45</v>
      </c>
      <c r="I204" s="1" t="s">
        <v>33</v>
      </c>
      <c r="J204" s="1">
        <v>1</v>
      </c>
      <c r="K204" s="1">
        <v>54.9</v>
      </c>
      <c r="L204" s="1">
        <v>5.5</v>
      </c>
      <c r="M204" s="16">
        <f t="shared" si="3"/>
        <v>51.880499999999998</v>
      </c>
      <c r="N204" s="1">
        <v>1</v>
      </c>
    </row>
    <row r="205" spans="1:14">
      <c r="A205" s="2">
        <v>46018</v>
      </c>
      <c r="B205" s="1">
        <v>1337</v>
      </c>
      <c r="C205" s="1">
        <v>32</v>
      </c>
      <c r="D205" s="1" t="s">
        <v>124</v>
      </c>
      <c r="E205" s="1" t="s">
        <v>29</v>
      </c>
      <c r="F205" s="1" t="s">
        <v>35</v>
      </c>
      <c r="G205" s="1">
        <v>30</v>
      </c>
      <c r="H205" s="1" t="s">
        <v>57</v>
      </c>
      <c r="I205" s="1" t="s">
        <v>31</v>
      </c>
      <c r="J205" s="1">
        <v>3</v>
      </c>
      <c r="K205" s="1">
        <v>41.49</v>
      </c>
      <c r="L205" s="1">
        <v>15</v>
      </c>
      <c r="M205" s="16">
        <f t="shared" si="3"/>
        <v>105.79949999999999</v>
      </c>
      <c r="N205" s="1">
        <v>0</v>
      </c>
    </row>
    <row r="206" spans="1:14">
      <c r="A206" s="2">
        <v>46041</v>
      </c>
      <c r="B206" s="1">
        <v>1416</v>
      </c>
      <c r="C206" s="1">
        <v>32</v>
      </c>
      <c r="D206" s="1" t="s">
        <v>124</v>
      </c>
      <c r="E206" s="1" t="s">
        <v>29</v>
      </c>
      <c r="F206" s="1" t="s">
        <v>35</v>
      </c>
      <c r="G206" s="1">
        <v>12</v>
      </c>
      <c r="H206" s="1" t="s">
        <v>215</v>
      </c>
      <c r="I206" s="1" t="s">
        <v>33</v>
      </c>
      <c r="J206" s="1">
        <v>1</v>
      </c>
      <c r="K206" s="1">
        <v>8.4499999999999993</v>
      </c>
      <c r="L206" s="1">
        <v>0</v>
      </c>
      <c r="M206" s="16">
        <f t="shared" si="3"/>
        <v>8.4499999999999993</v>
      </c>
      <c r="N206" s="1">
        <v>0</v>
      </c>
    </row>
    <row r="207" spans="1:14">
      <c r="A207" s="2">
        <v>46041</v>
      </c>
      <c r="B207" s="1">
        <v>1416</v>
      </c>
      <c r="C207" s="1">
        <v>32</v>
      </c>
      <c r="D207" s="1" t="s">
        <v>124</v>
      </c>
      <c r="E207" s="1" t="s">
        <v>29</v>
      </c>
      <c r="F207" s="1" t="s">
        <v>35</v>
      </c>
      <c r="G207" s="1">
        <v>11</v>
      </c>
      <c r="H207" s="1" t="s">
        <v>65</v>
      </c>
      <c r="I207" s="1" t="s">
        <v>33</v>
      </c>
      <c r="J207" s="1">
        <v>1</v>
      </c>
      <c r="K207" s="1">
        <v>58.35</v>
      </c>
      <c r="L207" s="1">
        <v>0</v>
      </c>
      <c r="M207" s="16">
        <f t="shared" si="3"/>
        <v>58.35</v>
      </c>
      <c r="N207" s="1">
        <v>0</v>
      </c>
    </row>
    <row r="208" spans="1:14">
      <c r="A208" s="2">
        <v>45850</v>
      </c>
      <c r="B208" s="1">
        <v>1235</v>
      </c>
      <c r="C208" s="1">
        <v>33</v>
      </c>
      <c r="D208" s="1" t="s">
        <v>158</v>
      </c>
      <c r="E208" s="1" t="s">
        <v>29</v>
      </c>
      <c r="F208" s="1" t="s">
        <v>55</v>
      </c>
      <c r="G208" s="1">
        <v>36</v>
      </c>
      <c r="H208" s="1" t="s">
        <v>62</v>
      </c>
      <c r="I208" s="1" t="s">
        <v>27</v>
      </c>
      <c r="J208" s="1">
        <v>1</v>
      </c>
      <c r="K208" s="1">
        <v>23.23</v>
      </c>
      <c r="L208" s="1">
        <v>20</v>
      </c>
      <c r="M208" s="16">
        <f t="shared" si="3"/>
        <v>18.584</v>
      </c>
      <c r="N208" s="1">
        <v>0</v>
      </c>
    </row>
    <row r="209" spans="1:14">
      <c r="A209" s="2">
        <v>45942</v>
      </c>
      <c r="B209" s="1">
        <v>1247</v>
      </c>
      <c r="C209" s="1">
        <v>33</v>
      </c>
      <c r="D209" s="1" t="s">
        <v>158</v>
      </c>
      <c r="E209" s="1" t="s">
        <v>29</v>
      </c>
      <c r="F209" s="1" t="s">
        <v>55</v>
      </c>
      <c r="G209" s="1">
        <v>36</v>
      </c>
      <c r="H209" s="1" t="s">
        <v>62</v>
      </c>
      <c r="I209" s="1" t="s">
        <v>27</v>
      </c>
      <c r="J209" s="1">
        <v>1</v>
      </c>
      <c r="K209" s="1">
        <v>23.23</v>
      </c>
      <c r="L209" s="1">
        <v>10</v>
      </c>
      <c r="M209" s="16">
        <f t="shared" si="3"/>
        <v>20.907</v>
      </c>
      <c r="N209" s="1">
        <v>0</v>
      </c>
    </row>
    <row r="210" spans="1:14">
      <c r="A210" s="2">
        <v>45942</v>
      </c>
      <c r="B210" s="1">
        <v>1247</v>
      </c>
      <c r="C210" s="1">
        <v>33</v>
      </c>
      <c r="D210" s="1" t="s">
        <v>158</v>
      </c>
      <c r="E210" s="1" t="s">
        <v>29</v>
      </c>
      <c r="F210" s="1" t="s">
        <v>55</v>
      </c>
      <c r="G210" s="1">
        <v>9</v>
      </c>
      <c r="H210" s="1" t="s">
        <v>69</v>
      </c>
      <c r="I210" s="1" t="s">
        <v>33</v>
      </c>
      <c r="J210" s="1">
        <v>1</v>
      </c>
      <c r="K210" s="1">
        <v>20.69</v>
      </c>
      <c r="L210" s="1">
        <v>25</v>
      </c>
      <c r="M210" s="16">
        <f t="shared" si="3"/>
        <v>15.517500000000002</v>
      </c>
      <c r="N210" s="1">
        <v>0</v>
      </c>
    </row>
    <row r="211" spans="1:14">
      <c r="A211" s="2">
        <v>45942</v>
      </c>
      <c r="B211" s="1">
        <v>1247</v>
      </c>
      <c r="C211" s="1">
        <v>33</v>
      </c>
      <c r="D211" s="1" t="s">
        <v>158</v>
      </c>
      <c r="E211" s="1" t="s">
        <v>29</v>
      </c>
      <c r="F211" s="1" t="s">
        <v>55</v>
      </c>
      <c r="G211" s="1">
        <v>9</v>
      </c>
      <c r="H211" s="1" t="s">
        <v>69</v>
      </c>
      <c r="I211" s="1" t="s">
        <v>33</v>
      </c>
      <c r="J211" s="1">
        <v>1</v>
      </c>
      <c r="K211" s="1">
        <v>20.69</v>
      </c>
      <c r="L211" s="1">
        <v>20</v>
      </c>
      <c r="M211" s="16">
        <f t="shared" si="3"/>
        <v>16.552000000000003</v>
      </c>
      <c r="N211" s="1">
        <v>1</v>
      </c>
    </row>
    <row r="212" spans="1:14">
      <c r="A212" s="2">
        <v>46039</v>
      </c>
      <c r="B212" s="1">
        <v>1408</v>
      </c>
      <c r="C212" s="1">
        <v>33</v>
      </c>
      <c r="D212" s="1" t="s">
        <v>158</v>
      </c>
      <c r="E212" s="1" t="s">
        <v>29</v>
      </c>
      <c r="F212" s="1" t="s">
        <v>55</v>
      </c>
      <c r="G212" s="1">
        <v>6</v>
      </c>
      <c r="H212" s="1" t="s">
        <v>99</v>
      </c>
      <c r="I212" s="1" t="s">
        <v>21</v>
      </c>
      <c r="J212" s="1">
        <v>2</v>
      </c>
      <c r="K212" s="1">
        <v>70.47</v>
      </c>
      <c r="L212" s="1">
        <v>0</v>
      </c>
      <c r="M212" s="16">
        <f t="shared" si="3"/>
        <v>140.94</v>
      </c>
      <c r="N212" s="1">
        <v>0</v>
      </c>
    </row>
    <row r="213" spans="1:14">
      <c r="A213" s="2">
        <v>46070</v>
      </c>
      <c r="B213" s="1">
        <v>1494</v>
      </c>
      <c r="C213" s="1">
        <v>33</v>
      </c>
      <c r="D213" s="1" t="s">
        <v>158</v>
      </c>
      <c r="E213" s="1" t="s">
        <v>29</v>
      </c>
      <c r="F213" s="1" t="s">
        <v>55</v>
      </c>
      <c r="G213" s="1">
        <v>26</v>
      </c>
      <c r="H213" s="1" t="s">
        <v>83</v>
      </c>
      <c r="I213" s="1" t="s">
        <v>37</v>
      </c>
      <c r="J213" s="1">
        <v>2</v>
      </c>
      <c r="K213" s="1">
        <v>31.76</v>
      </c>
      <c r="L213" s="1">
        <v>0</v>
      </c>
      <c r="M213" s="16">
        <f t="shared" si="3"/>
        <v>63.52</v>
      </c>
      <c r="N213" s="1">
        <v>0</v>
      </c>
    </row>
    <row r="214" spans="1:14">
      <c r="A214" s="2">
        <v>46070</v>
      </c>
      <c r="B214" s="1">
        <v>1494</v>
      </c>
      <c r="C214" s="1">
        <v>33</v>
      </c>
      <c r="D214" s="1" t="s">
        <v>158</v>
      </c>
      <c r="E214" s="1" t="s">
        <v>29</v>
      </c>
      <c r="F214" s="1" t="s">
        <v>55</v>
      </c>
      <c r="G214" s="1">
        <v>9</v>
      </c>
      <c r="H214" s="1" t="s">
        <v>69</v>
      </c>
      <c r="I214" s="1" t="s">
        <v>33</v>
      </c>
      <c r="J214" s="1">
        <v>2</v>
      </c>
      <c r="K214" s="1">
        <v>20.69</v>
      </c>
      <c r="L214" s="1">
        <v>0</v>
      </c>
      <c r="M214" s="16">
        <f t="shared" si="3"/>
        <v>41.38</v>
      </c>
      <c r="N214" s="1">
        <v>1</v>
      </c>
    </row>
    <row r="215" spans="1:14">
      <c r="A215" s="2">
        <v>46070</v>
      </c>
      <c r="B215" s="1">
        <v>1494</v>
      </c>
      <c r="C215" s="1">
        <v>33</v>
      </c>
      <c r="D215" s="1" t="s">
        <v>158</v>
      </c>
      <c r="E215" s="1" t="s">
        <v>29</v>
      </c>
      <c r="F215" s="1" t="s">
        <v>55</v>
      </c>
      <c r="G215" s="1">
        <v>25</v>
      </c>
      <c r="H215" s="1" t="s">
        <v>214</v>
      </c>
      <c r="I215" s="1" t="s">
        <v>37</v>
      </c>
      <c r="J215" s="1">
        <v>1</v>
      </c>
      <c r="K215" s="1">
        <v>17.78</v>
      </c>
      <c r="L215" s="1">
        <v>0</v>
      </c>
      <c r="M215" s="16">
        <f t="shared" si="3"/>
        <v>17.78</v>
      </c>
      <c r="N215" s="1">
        <v>0</v>
      </c>
    </row>
    <row r="216" spans="1:14">
      <c r="A216" s="2">
        <v>46039</v>
      </c>
      <c r="B216" s="1">
        <v>1408</v>
      </c>
      <c r="C216" s="1">
        <f>_xlfn.XLOOKUP(D216,'Customer Data'!B:B,'Customer Data'!A:A,"Not Found")</f>
        <v>33</v>
      </c>
      <c r="D216" s="1" t="s">
        <v>158</v>
      </c>
      <c r="E216" s="1" t="s">
        <v>29</v>
      </c>
      <c r="F216" s="1" t="s">
        <v>55</v>
      </c>
      <c r="G216" s="1">
        <v>39</v>
      </c>
      <c r="H216" s="1" t="str">
        <f>IF(I216="Apparel","Joggers",IF(I216="Beauty","Vitamin C Serum",IF(I216="Electronics","Wireless Earbuds",IF(I216="Home","LED Lamp",IF(I216="Sports","Water Bottle",IF(I216="Toys","RC Car",""))))))</f>
        <v>RC Car</v>
      </c>
      <c r="I216" s="1" t="s">
        <v>27</v>
      </c>
      <c r="J216" s="1">
        <v>1</v>
      </c>
      <c r="K216" s="1">
        <v>39.979999999999997</v>
      </c>
      <c r="L216" s="1">
        <v>0</v>
      </c>
      <c r="M216" s="16">
        <f t="shared" si="3"/>
        <v>39.979999999999997</v>
      </c>
      <c r="N216" s="1">
        <v>0</v>
      </c>
    </row>
    <row r="217" spans="1:14">
      <c r="A217" s="2">
        <v>46011</v>
      </c>
      <c r="B217" s="1">
        <v>1302</v>
      </c>
      <c r="C217" s="1">
        <v>34</v>
      </c>
      <c r="D217" s="1" t="s">
        <v>165</v>
      </c>
      <c r="E217" s="1" t="s">
        <v>40</v>
      </c>
      <c r="F217" s="1" t="s">
        <v>35</v>
      </c>
      <c r="G217" s="1">
        <v>7</v>
      </c>
      <c r="H217" s="1" t="s">
        <v>46</v>
      </c>
      <c r="I217" s="1" t="s">
        <v>21</v>
      </c>
      <c r="J217" s="1">
        <v>1</v>
      </c>
      <c r="K217" s="1">
        <v>79.39</v>
      </c>
      <c r="L217" s="1">
        <v>0</v>
      </c>
      <c r="M217" s="16">
        <f t="shared" si="3"/>
        <v>79.39</v>
      </c>
      <c r="N217" s="1">
        <v>0</v>
      </c>
    </row>
    <row r="218" spans="1:14">
      <c r="A218" s="2">
        <v>46079</v>
      </c>
      <c r="B218" s="1">
        <v>1531</v>
      </c>
      <c r="C218" s="1">
        <v>34</v>
      </c>
      <c r="D218" s="1" t="s">
        <v>165</v>
      </c>
      <c r="E218" s="1" t="s">
        <v>40</v>
      </c>
      <c r="F218" s="1" t="s">
        <v>35</v>
      </c>
      <c r="G218" s="1">
        <v>36</v>
      </c>
      <c r="H218" s="1" t="s">
        <v>62</v>
      </c>
      <c r="I218" s="1" t="s">
        <v>27</v>
      </c>
      <c r="J218" s="1">
        <v>2</v>
      </c>
      <c r="K218" s="1">
        <v>23.23</v>
      </c>
      <c r="L218" s="1">
        <v>20</v>
      </c>
      <c r="M218" s="16">
        <f t="shared" si="3"/>
        <v>37.167999999999999</v>
      </c>
      <c r="N218" s="1">
        <v>0</v>
      </c>
    </row>
    <row r="219" spans="1:14">
      <c r="A219" s="2">
        <v>46079</v>
      </c>
      <c r="B219" s="1">
        <v>1531</v>
      </c>
      <c r="C219" s="1">
        <v>34</v>
      </c>
      <c r="D219" s="1" t="s">
        <v>165</v>
      </c>
      <c r="E219" s="1" t="s">
        <v>40</v>
      </c>
      <c r="F219" s="1" t="s">
        <v>35</v>
      </c>
      <c r="G219" s="1">
        <v>9</v>
      </c>
      <c r="H219" s="1" t="s">
        <v>69</v>
      </c>
      <c r="I219" s="1" t="s">
        <v>33</v>
      </c>
      <c r="J219" s="1">
        <v>1</v>
      </c>
      <c r="K219" s="1">
        <v>20.69</v>
      </c>
      <c r="L219" s="1">
        <v>5.5</v>
      </c>
      <c r="M219" s="16">
        <f t="shared" si="3"/>
        <v>19.552050000000001</v>
      </c>
      <c r="N219" s="1">
        <v>0</v>
      </c>
    </row>
    <row r="220" spans="1:14">
      <c r="A220" s="2">
        <v>46079</v>
      </c>
      <c r="B220" s="1">
        <v>1531</v>
      </c>
      <c r="C220" s="1">
        <v>34</v>
      </c>
      <c r="D220" s="1" t="s">
        <v>165</v>
      </c>
      <c r="E220" s="1" t="s">
        <v>40</v>
      </c>
      <c r="F220" s="1" t="s">
        <v>35</v>
      </c>
      <c r="G220" s="1">
        <v>31</v>
      </c>
      <c r="H220" s="1" t="s">
        <v>30</v>
      </c>
      <c r="I220" s="1" t="s">
        <v>31</v>
      </c>
      <c r="J220" s="1">
        <v>1</v>
      </c>
      <c r="K220" s="1">
        <v>57.51</v>
      </c>
      <c r="L220" s="1">
        <v>15</v>
      </c>
      <c r="M220" s="16">
        <f t="shared" si="3"/>
        <v>48.883499999999998</v>
      </c>
      <c r="N220" s="1">
        <v>0</v>
      </c>
    </row>
    <row r="221" spans="1:14">
      <c r="A221" s="2">
        <v>46079</v>
      </c>
      <c r="B221" s="1">
        <v>1531</v>
      </c>
      <c r="C221" s="1">
        <v>34</v>
      </c>
      <c r="D221" s="1" t="s">
        <v>165</v>
      </c>
      <c r="E221" s="1" t="s">
        <v>40</v>
      </c>
      <c r="F221" s="1" t="s">
        <v>35</v>
      </c>
      <c r="G221" s="1">
        <v>2</v>
      </c>
      <c r="H221" s="1" t="s">
        <v>80</v>
      </c>
      <c r="I221" s="1" t="s">
        <v>21</v>
      </c>
      <c r="J221" s="1">
        <v>3</v>
      </c>
      <c r="K221" s="1">
        <v>38.869999999999997</v>
      </c>
      <c r="L221" s="1">
        <v>15</v>
      </c>
      <c r="M221" s="16">
        <f t="shared" si="3"/>
        <v>99.118499999999983</v>
      </c>
      <c r="N221" s="1">
        <v>0</v>
      </c>
    </row>
    <row r="222" spans="1:14">
      <c r="A222" s="2">
        <v>45980</v>
      </c>
      <c r="B222" s="1">
        <v>1150</v>
      </c>
      <c r="C222" s="1">
        <v>35</v>
      </c>
      <c r="D222" s="1" t="s">
        <v>138</v>
      </c>
      <c r="E222" s="1" t="s">
        <v>40</v>
      </c>
      <c r="F222" s="1" t="s">
        <v>55</v>
      </c>
      <c r="G222" s="1">
        <v>25</v>
      </c>
      <c r="H222" s="1" t="s">
        <v>214</v>
      </c>
      <c r="I222" s="1" t="s">
        <v>37</v>
      </c>
      <c r="J222" s="1">
        <v>1</v>
      </c>
      <c r="K222" s="1">
        <v>17.78</v>
      </c>
      <c r="L222" s="1">
        <v>5.5</v>
      </c>
      <c r="M222" s="16">
        <f t="shared" si="3"/>
        <v>16.802099999999999</v>
      </c>
      <c r="N222" s="1">
        <v>0</v>
      </c>
    </row>
    <row r="223" spans="1:14">
      <c r="A223" s="2">
        <v>45980</v>
      </c>
      <c r="B223" s="1">
        <v>1150</v>
      </c>
      <c r="C223" s="1">
        <v>35</v>
      </c>
      <c r="D223" s="1" t="s">
        <v>138</v>
      </c>
      <c r="E223" s="1" t="s">
        <v>40</v>
      </c>
      <c r="F223" s="1" t="s">
        <v>55</v>
      </c>
      <c r="G223" s="1">
        <v>2</v>
      </c>
      <c r="H223" s="1" t="s">
        <v>80</v>
      </c>
      <c r="I223" s="1" t="s">
        <v>21</v>
      </c>
      <c r="J223" s="1">
        <v>1</v>
      </c>
      <c r="K223" s="1">
        <v>64.02</v>
      </c>
      <c r="L223" s="1">
        <v>10</v>
      </c>
      <c r="M223" s="16">
        <f t="shared" si="3"/>
        <v>57.617999999999995</v>
      </c>
      <c r="N223" s="1">
        <v>0</v>
      </c>
    </row>
    <row r="224" spans="1:14">
      <c r="A224" s="2">
        <v>46024</v>
      </c>
      <c r="B224" s="1">
        <v>1444</v>
      </c>
      <c r="C224" s="1">
        <v>35</v>
      </c>
      <c r="D224" s="1" t="s">
        <v>138</v>
      </c>
      <c r="E224" s="1" t="s">
        <v>40</v>
      </c>
      <c r="F224" s="1" t="s">
        <v>55</v>
      </c>
      <c r="G224" s="1">
        <v>24</v>
      </c>
      <c r="H224" s="1" t="s">
        <v>44</v>
      </c>
      <c r="I224" s="1" t="s">
        <v>37</v>
      </c>
      <c r="J224" s="1">
        <v>1</v>
      </c>
      <c r="K224" s="1">
        <v>43.42</v>
      </c>
      <c r="L224" s="1">
        <v>0</v>
      </c>
      <c r="M224" s="16">
        <f t="shared" si="3"/>
        <v>43.42</v>
      </c>
      <c r="N224" s="1">
        <v>0</v>
      </c>
    </row>
    <row r="225" spans="1:14">
      <c r="A225" s="2">
        <v>46024</v>
      </c>
      <c r="B225" s="1">
        <v>1444</v>
      </c>
      <c r="C225" s="1">
        <v>35</v>
      </c>
      <c r="D225" s="1" t="s">
        <v>138</v>
      </c>
      <c r="E225" s="1" t="s">
        <v>40</v>
      </c>
      <c r="F225" s="1" t="s">
        <v>55</v>
      </c>
      <c r="G225" s="1">
        <v>31</v>
      </c>
      <c r="H225" s="1" t="s">
        <v>30</v>
      </c>
      <c r="I225" s="1" t="s">
        <v>31</v>
      </c>
      <c r="J225" s="1">
        <v>1</v>
      </c>
      <c r="K225" s="1">
        <v>57.51</v>
      </c>
      <c r="L225" s="1">
        <v>0</v>
      </c>
      <c r="M225" s="16">
        <f t="shared" si="3"/>
        <v>57.51</v>
      </c>
      <c r="N225" s="1">
        <v>0</v>
      </c>
    </row>
    <row r="226" spans="1:14">
      <c r="A226" s="2">
        <v>46001</v>
      </c>
      <c r="B226" s="1">
        <v>1044</v>
      </c>
      <c r="C226" s="1">
        <v>37</v>
      </c>
      <c r="D226" s="1" t="s">
        <v>28</v>
      </c>
      <c r="E226" s="1" t="s">
        <v>29</v>
      </c>
      <c r="F226" s="1" t="s">
        <v>15</v>
      </c>
      <c r="G226" s="1">
        <v>31</v>
      </c>
      <c r="H226" s="1" t="s">
        <v>30</v>
      </c>
      <c r="I226" s="1" t="s">
        <v>31</v>
      </c>
      <c r="J226" s="1">
        <v>2</v>
      </c>
      <c r="K226" s="1">
        <v>57.51</v>
      </c>
      <c r="L226" s="1">
        <v>20</v>
      </c>
      <c r="M226" s="16">
        <f t="shared" si="3"/>
        <v>92.016000000000005</v>
      </c>
      <c r="N226" s="1">
        <v>0</v>
      </c>
    </row>
    <row r="227" spans="1:14">
      <c r="A227" s="2">
        <v>45912</v>
      </c>
      <c r="B227" s="1">
        <v>1243</v>
      </c>
      <c r="C227" s="1">
        <v>37</v>
      </c>
      <c r="D227" s="1" t="s">
        <v>28</v>
      </c>
      <c r="E227" s="1" t="s">
        <v>29</v>
      </c>
      <c r="F227" s="1" t="s">
        <v>15</v>
      </c>
      <c r="G227" s="1">
        <v>9</v>
      </c>
      <c r="H227" s="1" t="s">
        <v>69</v>
      </c>
      <c r="I227" s="1" t="s">
        <v>33</v>
      </c>
      <c r="J227" s="1">
        <v>1</v>
      </c>
      <c r="K227" s="1">
        <v>38.869999999999997</v>
      </c>
      <c r="L227" s="1">
        <v>0</v>
      </c>
      <c r="M227" s="16">
        <f t="shared" si="3"/>
        <v>38.869999999999997</v>
      </c>
      <c r="N227" s="1">
        <v>1</v>
      </c>
    </row>
    <row r="228" spans="1:14">
      <c r="A228" s="2">
        <v>45912</v>
      </c>
      <c r="B228" s="1">
        <v>1243</v>
      </c>
      <c r="C228" s="1">
        <v>37</v>
      </c>
      <c r="D228" s="1" t="s">
        <v>28</v>
      </c>
      <c r="E228" s="1" t="s">
        <v>29</v>
      </c>
      <c r="F228" s="1" t="s">
        <v>15</v>
      </c>
      <c r="G228" s="1">
        <v>12</v>
      </c>
      <c r="H228" s="1" t="s">
        <v>215</v>
      </c>
      <c r="I228" s="1" t="s">
        <v>33</v>
      </c>
      <c r="J228" s="1">
        <v>1</v>
      </c>
      <c r="K228" s="1">
        <v>8.4499999999999993</v>
      </c>
      <c r="L228" s="1">
        <v>0</v>
      </c>
      <c r="M228" s="16">
        <f t="shared" si="3"/>
        <v>8.4499999999999993</v>
      </c>
      <c r="N228" s="1">
        <v>0</v>
      </c>
    </row>
    <row r="229" spans="1:14">
      <c r="A229" s="2">
        <v>45912</v>
      </c>
      <c r="B229" s="1">
        <v>1243</v>
      </c>
      <c r="C229" s="1">
        <v>37</v>
      </c>
      <c r="D229" s="1" t="s">
        <v>28</v>
      </c>
      <c r="E229" s="1" t="s">
        <v>29</v>
      </c>
      <c r="F229" s="1" t="s">
        <v>15</v>
      </c>
      <c r="G229" s="1">
        <v>20</v>
      </c>
      <c r="H229" s="1" t="s">
        <v>16</v>
      </c>
      <c r="I229" s="1" t="s">
        <v>17</v>
      </c>
      <c r="J229" s="1">
        <v>2</v>
      </c>
      <c r="K229" s="1">
        <v>32.76</v>
      </c>
      <c r="L229" s="1">
        <v>0</v>
      </c>
      <c r="M229" s="16">
        <f t="shared" si="3"/>
        <v>65.52</v>
      </c>
      <c r="N229" s="1">
        <v>0</v>
      </c>
    </row>
    <row r="230" spans="1:14">
      <c r="A230" s="2">
        <v>46020</v>
      </c>
      <c r="B230" s="1">
        <v>1349</v>
      </c>
      <c r="C230" s="1">
        <v>37</v>
      </c>
      <c r="D230" s="1" t="s">
        <v>28</v>
      </c>
      <c r="E230" s="1" t="s">
        <v>29</v>
      </c>
      <c r="F230" s="1" t="s">
        <v>15</v>
      </c>
      <c r="G230" s="1">
        <v>39</v>
      </c>
      <c r="H230" s="1" t="s">
        <v>36</v>
      </c>
      <c r="I230" s="1" t="s">
        <v>27</v>
      </c>
      <c r="J230" s="1">
        <v>3</v>
      </c>
      <c r="K230" s="1">
        <v>39.979999999999997</v>
      </c>
      <c r="L230" s="1">
        <v>0</v>
      </c>
      <c r="M230" s="16">
        <f t="shared" si="3"/>
        <v>119.94</v>
      </c>
      <c r="N230" s="1">
        <v>0</v>
      </c>
    </row>
    <row r="231" spans="1:14">
      <c r="A231" s="2">
        <v>46073</v>
      </c>
      <c r="B231" s="1">
        <v>1506</v>
      </c>
      <c r="C231" s="1">
        <v>37</v>
      </c>
      <c r="D231" s="1" t="s">
        <v>28</v>
      </c>
      <c r="E231" s="1" t="s">
        <v>29</v>
      </c>
      <c r="F231" s="1" t="s">
        <v>15</v>
      </c>
      <c r="G231" s="1">
        <v>31</v>
      </c>
      <c r="H231" s="1" t="s">
        <v>30</v>
      </c>
      <c r="I231" s="1" t="s">
        <v>31</v>
      </c>
      <c r="J231" s="1">
        <v>1</v>
      </c>
      <c r="K231" s="1">
        <v>57.51</v>
      </c>
      <c r="L231" s="1">
        <v>20</v>
      </c>
      <c r="M231" s="16">
        <f t="shared" si="3"/>
        <v>46.008000000000003</v>
      </c>
      <c r="N231" s="1">
        <v>0</v>
      </c>
    </row>
    <row r="232" spans="1:14">
      <c r="A232" s="2">
        <v>46073</v>
      </c>
      <c r="B232" s="1">
        <v>1506</v>
      </c>
      <c r="C232" s="1">
        <v>37</v>
      </c>
      <c r="D232" s="1" t="s">
        <v>28</v>
      </c>
      <c r="E232" s="1" t="s">
        <v>29</v>
      </c>
      <c r="F232" s="1" t="s">
        <v>15</v>
      </c>
      <c r="G232" s="1">
        <v>26</v>
      </c>
      <c r="H232" s="1" t="s">
        <v>83</v>
      </c>
      <c r="I232" s="1" t="s">
        <v>37</v>
      </c>
      <c r="J232" s="1">
        <v>1</v>
      </c>
      <c r="K232" s="1">
        <v>31.76</v>
      </c>
      <c r="L232" s="1">
        <v>10</v>
      </c>
      <c r="M232" s="16">
        <f t="shared" si="3"/>
        <v>28.584000000000003</v>
      </c>
      <c r="N232" s="1">
        <v>0</v>
      </c>
    </row>
    <row r="233" spans="1:14">
      <c r="A233" s="2">
        <v>46073</v>
      </c>
      <c r="B233" s="1">
        <v>1506</v>
      </c>
      <c r="C233" s="1">
        <v>37</v>
      </c>
      <c r="D233" s="1" t="s">
        <v>28</v>
      </c>
      <c r="E233" s="1" t="s">
        <v>29</v>
      </c>
      <c r="F233" s="1" t="s">
        <v>15</v>
      </c>
      <c r="G233" s="1">
        <v>9</v>
      </c>
      <c r="H233" s="1" t="s">
        <v>69</v>
      </c>
      <c r="I233" s="1" t="s">
        <v>33</v>
      </c>
      <c r="J233" s="1">
        <v>1</v>
      </c>
      <c r="K233" s="1">
        <v>20.69</v>
      </c>
      <c r="L233" s="1">
        <v>15</v>
      </c>
      <c r="M233" s="16">
        <f t="shared" si="3"/>
        <v>17.586500000000001</v>
      </c>
      <c r="N233" s="1">
        <v>0</v>
      </c>
    </row>
    <row r="234" spans="1:14">
      <c r="A234" s="2">
        <v>45949</v>
      </c>
      <c r="B234" s="1">
        <v>1029</v>
      </c>
      <c r="C234" s="1">
        <v>38</v>
      </c>
      <c r="D234" s="1" t="s">
        <v>43</v>
      </c>
      <c r="E234" s="1" t="s">
        <v>40</v>
      </c>
      <c r="F234" s="1" t="s">
        <v>55</v>
      </c>
      <c r="G234" s="1">
        <v>40</v>
      </c>
      <c r="H234" s="1" t="s">
        <v>53</v>
      </c>
      <c r="I234" s="1" t="s">
        <v>27</v>
      </c>
      <c r="J234" s="1">
        <v>1</v>
      </c>
      <c r="K234" s="1">
        <v>47.25</v>
      </c>
      <c r="L234" s="1">
        <v>0</v>
      </c>
      <c r="M234" s="16">
        <f t="shared" si="3"/>
        <v>47.25</v>
      </c>
      <c r="N234" s="1">
        <v>0</v>
      </c>
    </row>
    <row r="235" spans="1:14">
      <c r="A235" s="2">
        <v>45949</v>
      </c>
      <c r="B235" s="1">
        <v>1029</v>
      </c>
      <c r="C235" s="1">
        <v>38</v>
      </c>
      <c r="D235" s="1" t="s">
        <v>43</v>
      </c>
      <c r="E235" s="1" t="s">
        <v>40</v>
      </c>
      <c r="F235" s="1" t="s">
        <v>55</v>
      </c>
      <c r="G235" s="1">
        <v>38</v>
      </c>
      <c r="H235" s="1" t="s">
        <v>70</v>
      </c>
      <c r="I235" s="1" t="s">
        <v>27</v>
      </c>
      <c r="J235" s="1">
        <v>1</v>
      </c>
      <c r="K235" s="1">
        <v>25.14</v>
      </c>
      <c r="L235" s="1">
        <v>0</v>
      </c>
      <c r="M235" s="16">
        <f t="shared" si="3"/>
        <v>25.14</v>
      </c>
      <c r="N235" s="1">
        <v>0</v>
      </c>
    </row>
    <row r="236" spans="1:14">
      <c r="A236" s="2">
        <v>45961</v>
      </c>
      <c r="B236" s="1">
        <v>1059</v>
      </c>
      <c r="C236" s="1">
        <v>38</v>
      </c>
      <c r="D236" s="1" t="s">
        <v>43</v>
      </c>
      <c r="E236" s="1" t="s">
        <v>40</v>
      </c>
      <c r="F236" s="1" t="s">
        <v>55</v>
      </c>
      <c r="G236" s="1">
        <v>24</v>
      </c>
      <c r="H236" s="1" t="s">
        <v>44</v>
      </c>
      <c r="I236" s="1" t="s">
        <v>37</v>
      </c>
      <c r="J236" s="1">
        <v>1</v>
      </c>
      <c r="K236" s="1">
        <v>43.42</v>
      </c>
      <c r="L236" s="1">
        <v>0</v>
      </c>
      <c r="M236" s="16">
        <f t="shared" si="3"/>
        <v>43.42</v>
      </c>
      <c r="N236" s="1">
        <v>0</v>
      </c>
    </row>
    <row r="237" spans="1:14">
      <c r="A237" s="2">
        <v>45961</v>
      </c>
      <c r="B237" s="1">
        <v>1059</v>
      </c>
      <c r="C237" s="1">
        <v>38</v>
      </c>
      <c r="D237" s="1" t="s">
        <v>43</v>
      </c>
      <c r="E237" s="1" t="s">
        <v>40</v>
      </c>
      <c r="F237" s="1" t="s">
        <v>55</v>
      </c>
      <c r="G237" s="1">
        <v>25</v>
      </c>
      <c r="H237" s="1" t="str">
        <f>IF(I237="Apparel","Joggers",IF(I237="Beauty","Vitamin C Serum",IF(I237="Electronics","Wireless Earbuds",IF(I237="Home","LED Lamp",IF(I237="Sports","Water Bottle",IF(I237="Toys","RC Car",""))))))</f>
        <v>Vitamin C Serum</v>
      </c>
      <c r="I237" s="1" t="s">
        <v>37</v>
      </c>
      <c r="J237" s="1">
        <v>1</v>
      </c>
      <c r="K237" s="1">
        <v>38.869999999999997</v>
      </c>
      <c r="L237" s="1">
        <v>0</v>
      </c>
      <c r="M237" s="16">
        <f t="shared" si="3"/>
        <v>38.869999999999997</v>
      </c>
      <c r="N237" s="1">
        <v>0</v>
      </c>
    </row>
    <row r="238" spans="1:14">
      <c r="A238" s="2">
        <v>46002</v>
      </c>
      <c r="B238" s="1">
        <v>1044</v>
      </c>
      <c r="C238" s="1">
        <v>38</v>
      </c>
      <c r="D238" s="1" t="s">
        <v>43</v>
      </c>
      <c r="E238" s="1" t="s">
        <v>40</v>
      </c>
      <c r="F238" s="1" t="s">
        <v>55</v>
      </c>
      <c r="G238" s="1">
        <v>6</v>
      </c>
      <c r="H238" s="1" t="s">
        <v>99</v>
      </c>
      <c r="I238" s="1" t="s">
        <v>21</v>
      </c>
      <c r="J238" s="1">
        <v>1</v>
      </c>
      <c r="K238" s="1">
        <v>70.47</v>
      </c>
      <c r="L238" s="1">
        <v>0</v>
      </c>
      <c r="M238" s="16">
        <f t="shared" si="3"/>
        <v>70.47</v>
      </c>
      <c r="N238" s="1">
        <v>0</v>
      </c>
    </row>
    <row r="239" spans="1:14">
      <c r="A239" s="2">
        <v>46038</v>
      </c>
      <c r="B239" s="1">
        <v>1407</v>
      </c>
      <c r="C239" s="1">
        <v>38</v>
      </c>
      <c r="D239" s="1" t="s">
        <v>43</v>
      </c>
      <c r="E239" s="1" t="s">
        <v>40</v>
      </c>
      <c r="F239" s="1" t="s">
        <v>55</v>
      </c>
      <c r="G239" s="1">
        <v>16</v>
      </c>
      <c r="H239" s="1" t="s">
        <v>77</v>
      </c>
      <c r="I239" s="1" t="s">
        <v>17</v>
      </c>
      <c r="J239" s="1">
        <v>1</v>
      </c>
      <c r="K239" s="1">
        <v>11.81</v>
      </c>
      <c r="L239" s="1">
        <v>0</v>
      </c>
      <c r="M239" s="16">
        <f t="shared" si="3"/>
        <v>11.81</v>
      </c>
      <c r="N239" s="1">
        <v>0</v>
      </c>
    </row>
    <row r="240" spans="1:14">
      <c r="A240" s="2">
        <v>46038</v>
      </c>
      <c r="B240" s="1">
        <v>1407</v>
      </c>
      <c r="C240" s="1">
        <v>38</v>
      </c>
      <c r="D240" s="1" t="s">
        <v>43</v>
      </c>
      <c r="E240" s="1" t="s">
        <v>40</v>
      </c>
      <c r="F240" s="1" t="s">
        <v>55</v>
      </c>
      <c r="G240" s="1">
        <v>31</v>
      </c>
      <c r="H240" s="1" t="s">
        <v>30</v>
      </c>
      <c r="I240" s="1" t="s">
        <v>31</v>
      </c>
      <c r="J240" s="1">
        <v>1</v>
      </c>
      <c r="K240" s="1">
        <v>57.51</v>
      </c>
      <c r="L240" s="1">
        <v>5.5</v>
      </c>
      <c r="M240" s="16">
        <f t="shared" si="3"/>
        <v>54.346949999999993</v>
      </c>
      <c r="N240" s="1">
        <v>0</v>
      </c>
    </row>
    <row r="241" spans="1:14">
      <c r="A241" s="2">
        <v>46046</v>
      </c>
      <c r="B241" s="1">
        <v>1426</v>
      </c>
      <c r="C241" s="1">
        <v>38</v>
      </c>
      <c r="D241" s="1" t="s">
        <v>43</v>
      </c>
      <c r="E241" s="1" t="s">
        <v>40</v>
      </c>
      <c r="F241" s="1" t="s">
        <v>55</v>
      </c>
      <c r="G241" s="1">
        <v>31</v>
      </c>
      <c r="H241" s="1" t="s">
        <v>30</v>
      </c>
      <c r="I241" s="1" t="s">
        <v>31</v>
      </c>
      <c r="J241" s="1">
        <v>1</v>
      </c>
      <c r="K241" s="1">
        <v>57.51</v>
      </c>
      <c r="L241" s="1">
        <v>0</v>
      </c>
      <c r="M241" s="16">
        <f t="shared" si="3"/>
        <v>57.51</v>
      </c>
      <c r="N241" s="1">
        <v>0</v>
      </c>
    </row>
    <row r="242" spans="1:14">
      <c r="A242" s="2">
        <v>46046</v>
      </c>
      <c r="B242" s="1">
        <v>1426</v>
      </c>
      <c r="C242" s="1">
        <v>38</v>
      </c>
      <c r="D242" s="1" t="s">
        <v>43</v>
      </c>
      <c r="E242" s="1" t="s">
        <v>40</v>
      </c>
      <c r="F242" s="1" t="s">
        <v>55</v>
      </c>
      <c r="G242" s="1">
        <v>1</v>
      </c>
      <c r="H242" s="1" t="s">
        <v>20</v>
      </c>
      <c r="I242" s="1" t="s">
        <v>21</v>
      </c>
      <c r="J242" s="1">
        <v>2</v>
      </c>
      <c r="K242" s="1">
        <v>47.45</v>
      </c>
      <c r="L242" s="1">
        <v>0</v>
      </c>
      <c r="M242" s="16">
        <f t="shared" si="3"/>
        <v>94.9</v>
      </c>
      <c r="N242" s="1">
        <v>0</v>
      </c>
    </row>
    <row r="243" spans="1:14">
      <c r="A243" s="2">
        <v>46069</v>
      </c>
      <c r="B243" s="1">
        <v>1491</v>
      </c>
      <c r="C243" s="1">
        <v>38</v>
      </c>
      <c r="D243" s="1" t="s">
        <v>43</v>
      </c>
      <c r="E243" s="1" t="s">
        <v>40</v>
      </c>
      <c r="F243" s="1" t="s">
        <v>55</v>
      </c>
      <c r="G243" s="1">
        <v>22</v>
      </c>
      <c r="H243" s="1" t="s">
        <v>75</v>
      </c>
      <c r="I243" s="1" t="s">
        <v>17</v>
      </c>
      <c r="J243" s="1">
        <v>2</v>
      </c>
      <c r="K243" s="1">
        <v>29.98</v>
      </c>
      <c r="L243" s="1">
        <v>15</v>
      </c>
      <c r="M243" s="16">
        <f t="shared" si="3"/>
        <v>50.966000000000001</v>
      </c>
      <c r="N243" s="1">
        <v>0</v>
      </c>
    </row>
    <row r="244" spans="1:14">
      <c r="A244" s="2">
        <v>45946</v>
      </c>
      <c r="B244" s="1">
        <v>1013</v>
      </c>
      <c r="C244" s="1">
        <v>39</v>
      </c>
      <c r="D244" s="1" t="s">
        <v>50</v>
      </c>
      <c r="E244" s="1" t="s">
        <v>14</v>
      </c>
      <c r="F244" s="1" t="s">
        <v>35</v>
      </c>
      <c r="G244" s="1">
        <v>28</v>
      </c>
      <c r="H244" s="1" t="s">
        <v>51</v>
      </c>
      <c r="I244" s="1" t="s">
        <v>37</v>
      </c>
      <c r="J244" s="1">
        <v>1</v>
      </c>
      <c r="K244" s="1">
        <v>21.24</v>
      </c>
      <c r="L244" s="1">
        <v>10</v>
      </c>
      <c r="M244" s="16">
        <f t="shared" si="3"/>
        <v>19.116</v>
      </c>
      <c r="N244" s="1">
        <v>0</v>
      </c>
    </row>
    <row r="245" spans="1:14">
      <c r="A245" s="2">
        <v>45946</v>
      </c>
      <c r="B245" s="1">
        <v>1013</v>
      </c>
      <c r="C245" s="1">
        <v>39</v>
      </c>
      <c r="D245" s="1" t="s">
        <v>50</v>
      </c>
      <c r="E245" s="1" t="s">
        <v>14</v>
      </c>
      <c r="F245" s="1" t="s">
        <v>15</v>
      </c>
      <c r="G245" s="1">
        <v>18</v>
      </c>
      <c r="H245" s="1" t="s">
        <v>23</v>
      </c>
      <c r="I245" s="1" t="s">
        <v>17</v>
      </c>
      <c r="J245" s="1">
        <v>1</v>
      </c>
      <c r="K245" s="1">
        <v>38.869999999999997</v>
      </c>
      <c r="L245" s="1">
        <v>5</v>
      </c>
      <c r="M245" s="16">
        <f t="shared" si="3"/>
        <v>36.926499999999997</v>
      </c>
      <c r="N245" s="1">
        <v>0</v>
      </c>
    </row>
    <row r="246" spans="1:14">
      <c r="A246" s="2">
        <v>45981</v>
      </c>
      <c r="B246" s="1">
        <v>1155</v>
      </c>
      <c r="C246" s="1">
        <v>39</v>
      </c>
      <c r="D246" s="1" t="s">
        <v>50</v>
      </c>
      <c r="E246" s="1" t="s">
        <v>14</v>
      </c>
      <c r="F246" s="1" t="s">
        <v>15</v>
      </c>
      <c r="G246" s="1">
        <v>36</v>
      </c>
      <c r="H246" s="1" t="s">
        <v>62</v>
      </c>
      <c r="I246" s="1" t="s">
        <v>27</v>
      </c>
      <c r="J246" s="1">
        <v>1</v>
      </c>
      <c r="K246" s="1">
        <v>23.23</v>
      </c>
      <c r="L246" s="1">
        <v>0</v>
      </c>
      <c r="M246" s="16">
        <f t="shared" si="3"/>
        <v>23.23</v>
      </c>
      <c r="N246" s="1">
        <v>1</v>
      </c>
    </row>
    <row r="247" spans="1:14">
      <c r="A247" s="2">
        <v>45981</v>
      </c>
      <c r="B247" s="1">
        <v>1155</v>
      </c>
      <c r="C247" s="1">
        <v>39</v>
      </c>
      <c r="D247" s="1" t="s">
        <v>50</v>
      </c>
      <c r="E247" s="1" t="s">
        <v>14</v>
      </c>
      <c r="F247" s="1" t="s">
        <v>15</v>
      </c>
      <c r="G247" s="1">
        <v>30</v>
      </c>
      <c r="H247" s="1" t="s">
        <v>57</v>
      </c>
      <c r="I247" s="1" t="s">
        <v>31</v>
      </c>
      <c r="J247" s="1">
        <v>1</v>
      </c>
      <c r="K247" s="1">
        <v>41.49</v>
      </c>
      <c r="L247" s="1">
        <v>5</v>
      </c>
      <c r="M247" s="16">
        <f t="shared" si="3"/>
        <v>39.415500000000002</v>
      </c>
      <c r="N247" s="1">
        <v>0</v>
      </c>
    </row>
    <row r="248" spans="1:14">
      <c r="A248" s="2">
        <v>45981</v>
      </c>
      <c r="B248" s="1">
        <v>1155</v>
      </c>
      <c r="C248" s="1">
        <v>39</v>
      </c>
      <c r="D248" s="1" t="s">
        <v>50</v>
      </c>
      <c r="E248" s="1" t="s">
        <v>14</v>
      </c>
      <c r="F248" s="1" t="s">
        <v>15</v>
      </c>
      <c r="G248" s="1">
        <v>19</v>
      </c>
      <c r="H248" s="1" t="s">
        <v>64</v>
      </c>
      <c r="I248" s="1" t="s">
        <v>17</v>
      </c>
      <c r="J248" s="1">
        <v>1</v>
      </c>
      <c r="K248" s="1">
        <v>50.14</v>
      </c>
      <c r="L248" s="1">
        <v>5</v>
      </c>
      <c r="M248" s="16">
        <f t="shared" si="3"/>
        <v>47.632999999999996</v>
      </c>
      <c r="N248" s="1">
        <v>0</v>
      </c>
    </row>
    <row r="249" spans="1:14">
      <c r="A249" s="2">
        <v>45984</v>
      </c>
      <c r="B249" s="1">
        <v>1044</v>
      </c>
      <c r="C249" s="1">
        <v>39</v>
      </c>
      <c r="D249" s="1" t="s">
        <v>50</v>
      </c>
      <c r="E249" s="1" t="s">
        <v>14</v>
      </c>
      <c r="F249" s="1" t="s">
        <v>15</v>
      </c>
      <c r="G249" s="1">
        <v>38</v>
      </c>
      <c r="H249" s="1" t="s">
        <v>70</v>
      </c>
      <c r="I249" s="1" t="s">
        <v>27</v>
      </c>
      <c r="J249" s="1">
        <v>1</v>
      </c>
      <c r="K249" s="1">
        <v>25.14</v>
      </c>
      <c r="L249" s="1">
        <v>5</v>
      </c>
      <c r="M249" s="16">
        <f t="shared" si="3"/>
        <v>23.882999999999999</v>
      </c>
      <c r="N249" s="1">
        <v>0</v>
      </c>
    </row>
    <row r="250" spans="1:14">
      <c r="A250" s="2">
        <v>45984</v>
      </c>
      <c r="B250" s="1">
        <v>1167</v>
      </c>
      <c r="C250" s="1">
        <v>39</v>
      </c>
      <c r="D250" s="1" t="s">
        <v>50</v>
      </c>
      <c r="E250" s="1" t="s">
        <v>14</v>
      </c>
      <c r="F250" s="1" t="s">
        <v>15</v>
      </c>
      <c r="G250" s="1">
        <v>1</v>
      </c>
      <c r="H250" s="1" t="str">
        <f>IF(I250="Apparel","Joggers",IF(I250="Beauty","Vitamin C Serum",IF(I250="Electronics","Wireless Earbuds",IF(I250="Home","LED Lamp",IF(I250="Sports","Water Bottle",IF(I250="Toys","RC Car",""))))))</f>
        <v>Joggers</v>
      </c>
      <c r="I250" s="1" t="s">
        <v>21</v>
      </c>
      <c r="J250" s="1">
        <v>3</v>
      </c>
      <c r="K250" s="1">
        <v>47.45</v>
      </c>
      <c r="L250" s="1">
        <v>10</v>
      </c>
      <c r="M250" s="16">
        <f t="shared" si="3"/>
        <v>128.11500000000004</v>
      </c>
      <c r="N250" s="1">
        <v>0</v>
      </c>
    </row>
    <row r="251" spans="1:14">
      <c r="A251" s="2">
        <v>45984</v>
      </c>
      <c r="B251" s="1">
        <v>1167</v>
      </c>
      <c r="C251" s="1">
        <v>39</v>
      </c>
      <c r="D251" s="1" t="s">
        <v>50</v>
      </c>
      <c r="E251" s="1" t="s">
        <v>14</v>
      </c>
      <c r="F251" s="1" t="s">
        <v>15</v>
      </c>
      <c r="G251" s="1">
        <v>8</v>
      </c>
      <c r="H251" s="1" t="s">
        <v>84</v>
      </c>
      <c r="I251" s="1" t="s">
        <v>21</v>
      </c>
      <c r="J251" s="1">
        <v>1</v>
      </c>
      <c r="K251" s="1">
        <v>16.72</v>
      </c>
      <c r="L251" s="1">
        <v>5</v>
      </c>
      <c r="M251" s="16">
        <f t="shared" si="3"/>
        <v>15.883999999999999</v>
      </c>
      <c r="N251" s="1">
        <v>0</v>
      </c>
    </row>
    <row r="252" spans="1:14">
      <c r="A252" s="2">
        <v>45984</v>
      </c>
      <c r="B252" s="1">
        <v>1167</v>
      </c>
      <c r="C252" s="1">
        <v>39</v>
      </c>
      <c r="D252" s="1" t="s">
        <v>50</v>
      </c>
      <c r="E252" s="1" t="s">
        <v>14</v>
      </c>
      <c r="F252" s="1" t="s">
        <v>15</v>
      </c>
      <c r="G252" s="1">
        <v>34</v>
      </c>
      <c r="H252" s="1" t="s">
        <v>130</v>
      </c>
      <c r="I252" s="1" t="s">
        <v>31</v>
      </c>
      <c r="J252" s="1">
        <v>1</v>
      </c>
      <c r="K252" s="1">
        <v>58.26</v>
      </c>
      <c r="L252" s="1">
        <v>10</v>
      </c>
      <c r="M252" s="16">
        <f t="shared" si="3"/>
        <v>52.433999999999997</v>
      </c>
      <c r="N252" s="1">
        <v>0</v>
      </c>
    </row>
    <row r="253" spans="1:14">
      <c r="A253" s="2">
        <v>45728</v>
      </c>
      <c r="B253" s="1">
        <v>1217</v>
      </c>
      <c r="C253" s="1">
        <v>39</v>
      </c>
      <c r="D253" s="1" t="s">
        <v>50</v>
      </c>
      <c r="E253" s="1" t="s">
        <v>14</v>
      </c>
      <c r="F253" s="1" t="s">
        <v>15</v>
      </c>
      <c r="G253" s="1">
        <v>26</v>
      </c>
      <c r="H253" s="1" t="s">
        <v>83</v>
      </c>
      <c r="I253" s="1" t="s">
        <v>37</v>
      </c>
      <c r="J253" s="1">
        <v>1</v>
      </c>
      <c r="K253" s="1">
        <v>31.76</v>
      </c>
      <c r="L253" s="1">
        <v>0</v>
      </c>
      <c r="M253" s="16">
        <f t="shared" si="3"/>
        <v>31.76</v>
      </c>
      <c r="N253" s="1">
        <v>0</v>
      </c>
    </row>
    <row r="254" spans="1:14">
      <c r="A254" s="2">
        <v>46047</v>
      </c>
      <c r="B254" s="1">
        <v>1044</v>
      </c>
      <c r="C254" s="1">
        <v>39</v>
      </c>
      <c r="D254" s="1" t="s">
        <v>50</v>
      </c>
      <c r="E254" s="1" t="s">
        <v>122</v>
      </c>
      <c r="F254" s="1" t="s">
        <v>15</v>
      </c>
      <c r="G254" s="1">
        <v>9</v>
      </c>
      <c r="H254" s="1" t="s">
        <v>69</v>
      </c>
      <c r="I254" s="1" t="s">
        <v>33</v>
      </c>
      <c r="J254" s="1">
        <v>3</v>
      </c>
      <c r="K254" s="1">
        <v>20.69</v>
      </c>
      <c r="L254" s="1">
        <v>10</v>
      </c>
      <c r="M254" s="16">
        <f t="shared" si="3"/>
        <v>55.863000000000007</v>
      </c>
      <c r="N254" s="1">
        <v>0</v>
      </c>
    </row>
    <row r="255" spans="1:14">
      <c r="A255" s="2">
        <v>46074</v>
      </c>
      <c r="B255" s="1">
        <v>1512</v>
      </c>
      <c r="C255" s="1">
        <v>39</v>
      </c>
      <c r="D255" s="1" t="s">
        <v>50</v>
      </c>
      <c r="E255" s="1" t="s">
        <v>14</v>
      </c>
      <c r="F255" s="1" t="s">
        <v>15</v>
      </c>
      <c r="G255" s="1">
        <v>40</v>
      </c>
      <c r="H255" s="1" t="s">
        <v>53</v>
      </c>
      <c r="I255" s="1" t="s">
        <v>27</v>
      </c>
      <c r="J255" s="1">
        <v>1</v>
      </c>
      <c r="K255" s="1">
        <v>47.25</v>
      </c>
      <c r="L255" s="1">
        <v>5</v>
      </c>
      <c r="M255" s="16">
        <f t="shared" si="3"/>
        <v>44.887499999999996</v>
      </c>
      <c r="N255" s="1">
        <v>0</v>
      </c>
    </row>
    <row r="256" spans="1:14">
      <c r="A256" s="2">
        <v>46025</v>
      </c>
      <c r="B256" s="1">
        <v>1548</v>
      </c>
      <c r="C256" s="1">
        <v>39</v>
      </c>
      <c r="D256" s="1" t="s">
        <v>50</v>
      </c>
      <c r="E256" s="1" t="s">
        <v>14</v>
      </c>
      <c r="F256" s="1" t="s">
        <v>15</v>
      </c>
      <c r="G256" s="1">
        <v>3</v>
      </c>
      <c r="H256" s="1" t="s">
        <v>59</v>
      </c>
      <c r="I256" s="1" t="s">
        <v>21</v>
      </c>
      <c r="J256" s="1">
        <v>2</v>
      </c>
      <c r="K256" s="1">
        <v>25.47</v>
      </c>
      <c r="L256" s="1">
        <v>0</v>
      </c>
      <c r="M256" s="16">
        <f t="shared" si="3"/>
        <v>50.94</v>
      </c>
      <c r="N256" s="1">
        <v>0</v>
      </c>
    </row>
    <row r="257" spans="1:14">
      <c r="A257" s="2">
        <v>46025</v>
      </c>
      <c r="B257" s="1">
        <v>1548</v>
      </c>
      <c r="C257" s="1">
        <v>39</v>
      </c>
      <c r="D257" s="1" t="s">
        <v>50</v>
      </c>
      <c r="E257" s="1" t="s">
        <v>14</v>
      </c>
      <c r="F257" s="1" t="s">
        <v>15</v>
      </c>
      <c r="G257" s="1">
        <v>9</v>
      </c>
      <c r="H257" s="1" t="s">
        <v>69</v>
      </c>
      <c r="I257" s="1" t="s">
        <v>33</v>
      </c>
      <c r="J257" s="1">
        <v>2</v>
      </c>
      <c r="K257" s="1">
        <v>20.69</v>
      </c>
      <c r="L257" s="1">
        <v>0</v>
      </c>
      <c r="M257" s="16">
        <f t="shared" si="3"/>
        <v>41.38</v>
      </c>
      <c r="N257" s="1">
        <v>0</v>
      </c>
    </row>
    <row r="258" spans="1:14">
      <c r="A258" s="2">
        <v>46025</v>
      </c>
      <c r="B258" s="1">
        <v>1548</v>
      </c>
      <c r="C258" s="1">
        <v>39</v>
      </c>
      <c r="D258" s="1" t="s">
        <v>50</v>
      </c>
      <c r="E258" s="1" t="s">
        <v>14</v>
      </c>
      <c r="F258" s="1" t="s">
        <v>35</v>
      </c>
      <c r="G258" s="1">
        <v>22</v>
      </c>
      <c r="H258" s="1" t="s">
        <v>75</v>
      </c>
      <c r="I258" s="1" t="s">
        <v>17</v>
      </c>
      <c r="J258" s="1">
        <v>1</v>
      </c>
      <c r="K258" s="1">
        <v>29.98</v>
      </c>
      <c r="L258" s="1">
        <v>0</v>
      </c>
      <c r="M258" s="16">
        <f t="shared" si="3"/>
        <v>29.98</v>
      </c>
      <c r="N258" s="1">
        <v>0</v>
      </c>
    </row>
    <row r="259" spans="1:14">
      <c r="A259" s="2">
        <v>46025</v>
      </c>
      <c r="B259" s="1">
        <v>1548</v>
      </c>
      <c r="C259" s="1">
        <f>_xlfn.XLOOKUP(D259,'Customer Data'!B:B,'Customer Data'!A:A,"Not Found")</f>
        <v>39</v>
      </c>
      <c r="D259" s="1" t="s">
        <v>50</v>
      </c>
      <c r="E259" s="1" t="s">
        <v>14</v>
      </c>
      <c r="F259" s="1" t="s">
        <v>15</v>
      </c>
      <c r="G259" s="1">
        <v>15</v>
      </c>
      <c r="H259" s="1" t="s">
        <v>48</v>
      </c>
      <c r="I259" s="1" t="s">
        <v>33</v>
      </c>
      <c r="J259" s="1">
        <v>1</v>
      </c>
      <c r="K259" s="1">
        <v>47.71</v>
      </c>
      <c r="L259" s="1">
        <v>10</v>
      </c>
      <c r="M259" s="16">
        <f t="shared" ref="M259:M322" si="4">J259*K259*(1-L259/100)</f>
        <v>42.939</v>
      </c>
      <c r="N259" s="1">
        <v>1</v>
      </c>
    </row>
    <row r="260" spans="1:14">
      <c r="A260" s="2">
        <v>45960</v>
      </c>
      <c r="B260" s="1">
        <v>1055</v>
      </c>
      <c r="C260" s="1">
        <v>40</v>
      </c>
      <c r="D260" s="1" t="s">
        <v>106</v>
      </c>
      <c r="E260" s="1" t="s">
        <v>29</v>
      </c>
      <c r="F260" s="1" t="s">
        <v>55</v>
      </c>
      <c r="G260" s="1">
        <v>12</v>
      </c>
      <c r="H260" s="1" t="s">
        <v>215</v>
      </c>
      <c r="I260" s="1" t="s">
        <v>33</v>
      </c>
      <c r="J260" s="1">
        <v>1</v>
      </c>
      <c r="K260" s="1">
        <v>8.4499999999999993</v>
      </c>
      <c r="L260" s="1">
        <v>0</v>
      </c>
      <c r="M260" s="16">
        <f t="shared" si="4"/>
        <v>8.4499999999999993</v>
      </c>
      <c r="N260" s="1">
        <v>0</v>
      </c>
    </row>
    <row r="261" spans="1:14">
      <c r="A261" s="2">
        <v>45668</v>
      </c>
      <c r="B261" s="1">
        <v>1063</v>
      </c>
      <c r="C261" s="1">
        <v>40</v>
      </c>
      <c r="D261" s="1" t="s">
        <v>106</v>
      </c>
      <c r="E261" s="1" t="s">
        <v>29</v>
      </c>
      <c r="F261" s="1" t="s">
        <v>55</v>
      </c>
      <c r="G261" s="1">
        <v>2</v>
      </c>
      <c r="H261" s="1" t="s">
        <v>80</v>
      </c>
      <c r="I261" s="1" t="s">
        <v>21</v>
      </c>
      <c r="J261" s="1">
        <v>2</v>
      </c>
      <c r="K261" s="1">
        <v>64.02</v>
      </c>
      <c r="L261" s="1">
        <v>0</v>
      </c>
      <c r="M261" s="16">
        <f t="shared" si="4"/>
        <v>128.04</v>
      </c>
      <c r="N261" s="1">
        <v>0</v>
      </c>
    </row>
    <row r="262" spans="1:14">
      <c r="A262" s="2">
        <v>45668</v>
      </c>
      <c r="B262" s="1">
        <v>1063</v>
      </c>
      <c r="C262" s="1">
        <v>40</v>
      </c>
      <c r="D262" s="1" t="s">
        <v>106</v>
      </c>
      <c r="E262" s="1" t="s">
        <v>29</v>
      </c>
      <c r="F262" s="1" t="s">
        <v>55</v>
      </c>
      <c r="G262" s="1">
        <v>4</v>
      </c>
      <c r="H262" s="1" t="s">
        <v>92</v>
      </c>
      <c r="I262" s="1" t="s">
        <v>21</v>
      </c>
      <c r="J262" s="1">
        <v>2</v>
      </c>
      <c r="K262" s="1">
        <v>34.83</v>
      </c>
      <c r="L262" s="1">
        <v>0</v>
      </c>
      <c r="M262" s="16">
        <f t="shared" si="4"/>
        <v>69.66</v>
      </c>
      <c r="N262" s="1">
        <v>0</v>
      </c>
    </row>
    <row r="263" spans="1:14">
      <c r="A263" s="2">
        <v>45668</v>
      </c>
      <c r="B263" s="1">
        <v>1063</v>
      </c>
      <c r="C263" s="1">
        <v>40</v>
      </c>
      <c r="D263" s="1" t="s">
        <v>106</v>
      </c>
      <c r="E263" s="1" t="s">
        <v>29</v>
      </c>
      <c r="F263" s="1" t="s">
        <v>55</v>
      </c>
      <c r="G263" s="1">
        <v>12</v>
      </c>
      <c r="H263" s="1" t="s">
        <v>215</v>
      </c>
      <c r="I263" s="1" t="s">
        <v>33</v>
      </c>
      <c r="J263" s="1">
        <v>3</v>
      </c>
      <c r="K263" s="1">
        <v>8.4499999999999993</v>
      </c>
      <c r="L263" s="1">
        <v>0</v>
      </c>
      <c r="M263" s="16">
        <f t="shared" si="4"/>
        <v>25.349999999999998</v>
      </c>
      <c r="N263" s="1">
        <v>0</v>
      </c>
    </row>
    <row r="264" spans="1:14">
      <c r="A264" s="2">
        <v>45668</v>
      </c>
      <c r="B264" s="1">
        <v>1063</v>
      </c>
      <c r="C264" s="1">
        <v>40</v>
      </c>
      <c r="D264" s="1" t="s">
        <v>106</v>
      </c>
      <c r="E264" s="1" t="s">
        <v>29</v>
      </c>
      <c r="F264" s="1" t="s">
        <v>55</v>
      </c>
      <c r="G264" s="1">
        <v>27</v>
      </c>
      <c r="H264" s="1" t="str">
        <f>IF(I264="Apparel","Joggers",IF(I264="Beauty","Vitamin C Serum",IF(I264="Electronics","Wireless Earbuds",IF(I264="Home","LED Lamp",IF(I264="Sports","Water Bottle",IF(I264="Toys","RC Car",""))))))</f>
        <v>Vitamin C Serum</v>
      </c>
      <c r="I264" s="1" t="s">
        <v>37</v>
      </c>
      <c r="J264" s="1">
        <v>1</v>
      </c>
      <c r="K264" s="1">
        <v>27.3</v>
      </c>
      <c r="L264" s="1">
        <v>0</v>
      </c>
      <c r="M264" s="16">
        <f t="shared" si="4"/>
        <v>27.3</v>
      </c>
      <c r="N264" s="1">
        <v>0</v>
      </c>
    </row>
    <row r="265" spans="1:14">
      <c r="A265" s="2">
        <v>46003</v>
      </c>
      <c r="B265" s="1">
        <v>1263</v>
      </c>
      <c r="C265" s="1">
        <v>41</v>
      </c>
      <c r="D265" s="1" t="s">
        <v>108</v>
      </c>
      <c r="E265" s="1" t="s">
        <v>40</v>
      </c>
      <c r="F265" s="1" t="s">
        <v>35</v>
      </c>
      <c r="G265" s="1">
        <v>25</v>
      </c>
      <c r="H265" s="1" t="s">
        <v>214</v>
      </c>
      <c r="I265" s="1" t="s">
        <v>37</v>
      </c>
      <c r="J265" s="1">
        <v>1</v>
      </c>
      <c r="K265" s="1">
        <v>17.78</v>
      </c>
      <c r="L265" s="1">
        <v>0</v>
      </c>
      <c r="M265" s="16">
        <f t="shared" si="4"/>
        <v>17.78</v>
      </c>
      <c r="N265" s="1">
        <v>0</v>
      </c>
    </row>
    <row r="266" spans="1:14">
      <c r="A266" s="2">
        <v>46296</v>
      </c>
      <c r="B266" s="1">
        <v>1385</v>
      </c>
      <c r="C266" s="1">
        <v>41</v>
      </c>
      <c r="D266" s="1" t="s">
        <v>108</v>
      </c>
      <c r="E266" s="1" t="s">
        <v>40</v>
      </c>
      <c r="F266" s="1" t="s">
        <v>35</v>
      </c>
      <c r="G266" s="1">
        <v>37</v>
      </c>
      <c r="H266" s="1" t="s">
        <v>26</v>
      </c>
      <c r="I266" s="1" t="s">
        <v>27</v>
      </c>
      <c r="J266" s="1">
        <v>1</v>
      </c>
      <c r="K266" s="1">
        <v>52.67</v>
      </c>
      <c r="L266" s="1">
        <v>25</v>
      </c>
      <c r="M266" s="16">
        <f t="shared" si="4"/>
        <v>39.502499999999998</v>
      </c>
      <c r="N266" s="1">
        <v>0</v>
      </c>
    </row>
    <row r="267" spans="1:14">
      <c r="A267" s="2">
        <v>46296</v>
      </c>
      <c r="B267" s="1">
        <v>1385</v>
      </c>
      <c r="C267" s="1">
        <v>41</v>
      </c>
      <c r="D267" s="1" t="s">
        <v>108</v>
      </c>
      <c r="E267" s="1" t="s">
        <v>40</v>
      </c>
      <c r="F267" s="1" t="s">
        <v>35</v>
      </c>
      <c r="G267" s="1">
        <v>17</v>
      </c>
      <c r="H267" s="1" t="s">
        <v>60</v>
      </c>
      <c r="I267" s="1" t="s">
        <v>17</v>
      </c>
      <c r="J267" s="1">
        <v>1</v>
      </c>
      <c r="K267" s="1">
        <v>6.61</v>
      </c>
      <c r="L267" s="1">
        <v>10</v>
      </c>
      <c r="M267" s="16">
        <f t="shared" si="4"/>
        <v>5.9490000000000007</v>
      </c>
      <c r="N267" s="1">
        <v>0</v>
      </c>
    </row>
    <row r="268" spans="1:14">
      <c r="A268" s="2">
        <v>46032</v>
      </c>
      <c r="B268" s="1">
        <v>1385</v>
      </c>
      <c r="C268" s="1">
        <v>41</v>
      </c>
      <c r="D268" s="1" t="s">
        <v>108</v>
      </c>
      <c r="E268" s="1" t="s">
        <v>40</v>
      </c>
      <c r="F268" s="1" t="s">
        <v>35</v>
      </c>
      <c r="G268" s="1">
        <v>19</v>
      </c>
      <c r="H268" s="1" t="s">
        <v>64</v>
      </c>
      <c r="I268" s="1" t="s">
        <v>17</v>
      </c>
      <c r="J268" s="1">
        <v>1</v>
      </c>
      <c r="K268" s="1">
        <v>50.14</v>
      </c>
      <c r="L268" s="1">
        <v>20</v>
      </c>
      <c r="M268" s="16">
        <f t="shared" si="4"/>
        <v>40.112000000000002</v>
      </c>
      <c r="N268" s="1">
        <v>0</v>
      </c>
    </row>
    <row r="269" spans="1:14">
      <c r="A269" s="2">
        <v>46296</v>
      </c>
      <c r="B269" s="1">
        <v>1385</v>
      </c>
      <c r="C269" s="1">
        <v>41</v>
      </c>
      <c r="D269" s="1" t="s">
        <v>108</v>
      </c>
      <c r="E269" s="1" t="s">
        <v>40</v>
      </c>
      <c r="F269" s="1" t="s">
        <v>35</v>
      </c>
      <c r="G269" s="1">
        <v>1</v>
      </c>
      <c r="H269" s="1" t="s">
        <v>20</v>
      </c>
      <c r="I269" s="1" t="s">
        <v>21</v>
      </c>
      <c r="J269" s="1">
        <v>1</v>
      </c>
      <c r="K269" s="1">
        <v>47.45</v>
      </c>
      <c r="L269" s="1">
        <v>10</v>
      </c>
      <c r="M269" s="16">
        <f t="shared" si="4"/>
        <v>42.705000000000005</v>
      </c>
      <c r="N269" s="1">
        <v>0</v>
      </c>
    </row>
    <row r="270" spans="1:14">
      <c r="A270" s="2">
        <v>46024</v>
      </c>
      <c r="B270" s="1">
        <v>1445</v>
      </c>
      <c r="C270" s="1">
        <v>41</v>
      </c>
      <c r="D270" s="1" t="s">
        <v>108</v>
      </c>
      <c r="E270" s="1" t="s">
        <v>40</v>
      </c>
      <c r="F270" s="1" t="s">
        <v>35</v>
      </c>
      <c r="G270" s="1">
        <f>_xlfn.XLOOKUP(H270,'Product Data'!$B$2:$B$100,'Product Data'!$A$2:$A$100,"Not Found")</f>
        <v>4</v>
      </c>
      <c r="H270" s="1" t="str">
        <f>IF(I270="Apparel","Joggers",IF(I270="Beauty","Vitamin C Serum",IF(I270="Electronics","Wireless Earbuds",IF(I270="Home","LED Lamp",IF(I270="Sports","Water Bottle",IF(I270="Toys","RC Car",""))))))</f>
        <v>Joggers</v>
      </c>
      <c r="I270" s="1" t="s">
        <v>21</v>
      </c>
      <c r="J270" s="1">
        <v>1</v>
      </c>
      <c r="K270" s="1">
        <v>70.47</v>
      </c>
      <c r="L270" s="1">
        <v>0</v>
      </c>
      <c r="M270" s="16">
        <f t="shared" si="4"/>
        <v>70.47</v>
      </c>
      <c r="N270" s="1">
        <v>0</v>
      </c>
    </row>
    <row r="271" spans="1:14">
      <c r="A271" s="2">
        <v>46024</v>
      </c>
      <c r="B271" s="1">
        <v>1445</v>
      </c>
      <c r="C271" s="1">
        <v>41</v>
      </c>
      <c r="D271" s="1" t="s">
        <v>108</v>
      </c>
      <c r="E271" s="1" t="s">
        <v>40</v>
      </c>
      <c r="F271" s="1" t="s">
        <v>35</v>
      </c>
      <c r="G271" s="1">
        <v>27</v>
      </c>
      <c r="H271" s="1" t="s">
        <v>89</v>
      </c>
      <c r="I271" s="1" t="s">
        <v>37</v>
      </c>
      <c r="J271" s="1">
        <v>1</v>
      </c>
      <c r="K271" s="1">
        <v>27.3</v>
      </c>
      <c r="L271" s="1">
        <v>0</v>
      </c>
      <c r="M271" s="16">
        <f t="shared" si="4"/>
        <v>27.3</v>
      </c>
      <c r="N271" s="1">
        <v>0</v>
      </c>
    </row>
    <row r="272" spans="1:14">
      <c r="A272" s="2">
        <v>45946</v>
      </c>
      <c r="B272" s="1">
        <v>1044</v>
      </c>
      <c r="C272" s="1">
        <v>42</v>
      </c>
      <c r="D272" s="1" t="s">
        <v>52</v>
      </c>
      <c r="E272" s="1" t="s">
        <v>40</v>
      </c>
      <c r="F272" s="1" t="s">
        <v>41</v>
      </c>
      <c r="G272" s="1">
        <v>40</v>
      </c>
      <c r="H272" s="1" t="s">
        <v>53</v>
      </c>
      <c r="I272" s="1" t="s">
        <v>27</v>
      </c>
      <c r="J272" s="1">
        <v>3</v>
      </c>
      <c r="K272" s="1">
        <v>47.25</v>
      </c>
      <c r="L272" s="1">
        <v>0</v>
      </c>
      <c r="M272" s="16">
        <f t="shared" si="4"/>
        <v>141.75</v>
      </c>
      <c r="N272" s="1">
        <v>0</v>
      </c>
    </row>
    <row r="273" spans="1:14">
      <c r="A273" s="2">
        <v>45954</v>
      </c>
      <c r="B273" s="1">
        <v>1045</v>
      </c>
      <c r="C273" s="1">
        <v>42</v>
      </c>
      <c r="D273" s="1" t="s">
        <v>52</v>
      </c>
      <c r="E273" s="1" t="s">
        <v>40</v>
      </c>
      <c r="F273" s="1" t="s">
        <v>41</v>
      </c>
      <c r="G273" s="1">
        <v>4</v>
      </c>
      <c r="H273" s="1" t="s">
        <v>92</v>
      </c>
      <c r="I273" s="1" t="s">
        <v>21</v>
      </c>
      <c r="J273" s="1">
        <v>1</v>
      </c>
      <c r="K273" s="1">
        <v>34.83</v>
      </c>
      <c r="L273" s="1">
        <v>0</v>
      </c>
      <c r="M273" s="16">
        <f t="shared" si="4"/>
        <v>34.83</v>
      </c>
      <c r="N273" s="1">
        <v>0</v>
      </c>
    </row>
    <row r="274" spans="1:14">
      <c r="A274" s="2">
        <v>45727</v>
      </c>
      <c r="B274" s="1">
        <v>1072</v>
      </c>
      <c r="C274" s="1">
        <v>42</v>
      </c>
      <c r="D274" s="1" t="s">
        <v>52</v>
      </c>
      <c r="E274" s="1" t="s">
        <v>40</v>
      </c>
      <c r="F274" s="1" t="s">
        <v>41</v>
      </c>
      <c r="G274" s="1">
        <v>18</v>
      </c>
      <c r="H274" s="1" t="s">
        <v>23</v>
      </c>
      <c r="I274" s="1" t="s">
        <v>17</v>
      </c>
      <c r="J274" s="1">
        <v>2</v>
      </c>
      <c r="K274" s="1">
        <v>44.01</v>
      </c>
      <c r="L274" s="1">
        <v>15</v>
      </c>
      <c r="M274" s="16">
        <f t="shared" si="4"/>
        <v>74.816999999999993</v>
      </c>
      <c r="N274" s="1">
        <v>0</v>
      </c>
    </row>
    <row r="275" spans="1:14">
      <c r="A275" s="2">
        <v>45727</v>
      </c>
      <c r="B275" s="1">
        <v>1072</v>
      </c>
      <c r="C275" s="1">
        <v>42</v>
      </c>
      <c r="D275" s="1" t="s">
        <v>52</v>
      </c>
      <c r="E275" s="1" t="s">
        <v>40</v>
      </c>
      <c r="F275" s="1" t="s">
        <v>41</v>
      </c>
      <c r="G275" s="1">
        <v>5</v>
      </c>
      <c r="H275" s="1" t="s">
        <v>38</v>
      </c>
      <c r="I275" s="1" t="s">
        <v>21</v>
      </c>
      <c r="J275" s="1">
        <v>2</v>
      </c>
      <c r="K275" s="1">
        <v>42.53</v>
      </c>
      <c r="L275" s="1">
        <v>25</v>
      </c>
      <c r="M275" s="16">
        <f t="shared" si="4"/>
        <v>63.795000000000002</v>
      </c>
      <c r="N275" s="1">
        <v>0</v>
      </c>
    </row>
    <row r="276" spans="1:14">
      <c r="A276" s="2">
        <v>45978</v>
      </c>
      <c r="B276" s="1">
        <v>1139</v>
      </c>
      <c r="C276" s="1">
        <v>42</v>
      </c>
      <c r="D276" s="1" t="s">
        <v>52</v>
      </c>
      <c r="E276" s="1" t="s">
        <v>40</v>
      </c>
      <c r="F276" s="1" t="s">
        <v>41</v>
      </c>
      <c r="G276" s="1">
        <v>9</v>
      </c>
      <c r="H276" s="1" t="s">
        <v>69</v>
      </c>
      <c r="I276" s="1" t="s">
        <v>33</v>
      </c>
      <c r="J276" s="1">
        <v>1</v>
      </c>
      <c r="K276" s="1">
        <v>20.69</v>
      </c>
      <c r="L276" s="1">
        <v>25</v>
      </c>
      <c r="M276" s="16">
        <f t="shared" si="4"/>
        <v>15.517500000000002</v>
      </c>
      <c r="N276" s="1">
        <v>0</v>
      </c>
    </row>
    <row r="277" spans="1:14">
      <c r="A277" s="2">
        <v>45978</v>
      </c>
      <c r="B277" s="1">
        <v>1139</v>
      </c>
      <c r="C277" s="1">
        <v>42</v>
      </c>
      <c r="D277" s="1" t="s">
        <v>52</v>
      </c>
      <c r="E277" s="1" t="s">
        <v>40</v>
      </c>
      <c r="F277" s="1" t="s">
        <v>41</v>
      </c>
      <c r="G277" s="1">
        <v>16</v>
      </c>
      <c r="H277" s="1" t="str">
        <f>IF(I277="Apparel","Joggers",IF(I277="Beauty","Vitamin C Serum",IF(I277="Electronics","Wireless Earbuds",IF(I277="Home","LED Lamp",IF(I277="Sports","Water Bottle",IF(I277="Toys","RC Car",""))))))</f>
        <v>LED Lamp</v>
      </c>
      <c r="I277" s="1" t="s">
        <v>17</v>
      </c>
      <c r="J277" s="1">
        <v>1</v>
      </c>
      <c r="K277" s="1">
        <v>11.81</v>
      </c>
      <c r="L277" s="1">
        <v>25</v>
      </c>
      <c r="M277" s="16">
        <f t="shared" si="4"/>
        <v>8.8574999999999999</v>
      </c>
      <c r="N277" s="1">
        <v>0</v>
      </c>
    </row>
    <row r="278" spans="1:14">
      <c r="A278" s="2">
        <v>45978</v>
      </c>
      <c r="B278" s="1">
        <v>1139</v>
      </c>
      <c r="C278" s="1">
        <v>42</v>
      </c>
      <c r="D278" s="1" t="s">
        <v>52</v>
      </c>
      <c r="E278" s="1" t="s">
        <v>40</v>
      </c>
      <c r="F278" s="1" t="s">
        <v>41</v>
      </c>
      <c r="G278" s="1">
        <v>35</v>
      </c>
      <c r="H278" s="1" t="s">
        <v>104</v>
      </c>
      <c r="I278" s="1" t="s">
        <v>27</v>
      </c>
      <c r="J278" s="1">
        <v>1</v>
      </c>
      <c r="K278" s="1">
        <v>11.3</v>
      </c>
      <c r="L278" s="1">
        <v>10</v>
      </c>
      <c r="M278" s="16">
        <f t="shared" si="4"/>
        <v>10.170000000000002</v>
      </c>
      <c r="N278" s="1">
        <v>0</v>
      </c>
    </row>
    <row r="279" spans="1:14">
      <c r="A279" s="2">
        <v>45912</v>
      </c>
      <c r="B279" s="1">
        <v>1244</v>
      </c>
      <c r="C279" s="1">
        <v>42</v>
      </c>
      <c r="D279" s="1" t="s">
        <v>52</v>
      </c>
      <c r="E279" s="1" t="s">
        <v>40</v>
      </c>
      <c r="F279" s="1" t="s">
        <v>41</v>
      </c>
      <c r="G279" s="1">
        <v>34</v>
      </c>
      <c r="H279" s="1" t="s">
        <v>130</v>
      </c>
      <c r="I279" s="1" t="s">
        <v>31</v>
      </c>
      <c r="J279" s="1">
        <v>2</v>
      </c>
      <c r="K279" s="1">
        <v>58.26</v>
      </c>
      <c r="L279" s="1">
        <v>0</v>
      </c>
      <c r="M279" s="16">
        <f t="shared" si="4"/>
        <v>116.52</v>
      </c>
      <c r="N279" s="1">
        <v>0</v>
      </c>
    </row>
    <row r="280" spans="1:14">
      <c r="A280" s="2">
        <v>46006</v>
      </c>
      <c r="B280" s="1">
        <v>1280</v>
      </c>
      <c r="C280" s="1">
        <v>42</v>
      </c>
      <c r="D280" s="1" t="s">
        <v>52</v>
      </c>
      <c r="E280" s="1" t="s">
        <v>40</v>
      </c>
      <c r="F280" s="1" t="s">
        <v>41</v>
      </c>
      <c r="G280" s="1">
        <v>36</v>
      </c>
      <c r="H280" s="1" t="s">
        <v>62</v>
      </c>
      <c r="I280" s="1" t="s">
        <v>27</v>
      </c>
      <c r="J280" s="1">
        <v>2</v>
      </c>
      <c r="K280" s="1">
        <v>23.23</v>
      </c>
      <c r="L280" s="1">
        <v>0</v>
      </c>
      <c r="M280" s="16">
        <f t="shared" si="4"/>
        <v>46.46</v>
      </c>
      <c r="N280" s="1">
        <v>0</v>
      </c>
    </row>
    <row r="281" spans="1:14">
      <c r="A281" s="2">
        <v>46006</v>
      </c>
      <c r="B281" s="1">
        <v>1280</v>
      </c>
      <c r="C281" s="1">
        <v>42</v>
      </c>
      <c r="D281" s="1" t="s">
        <v>52</v>
      </c>
      <c r="E281" s="1" t="s">
        <v>40</v>
      </c>
      <c r="F281" s="1" t="s">
        <v>41</v>
      </c>
      <c r="G281" s="1">
        <v>15</v>
      </c>
      <c r="H281" s="1" t="s">
        <v>48</v>
      </c>
      <c r="I281" s="1" t="s">
        <v>33</v>
      </c>
      <c r="J281" s="1">
        <v>3</v>
      </c>
      <c r="K281" s="1">
        <v>47.71</v>
      </c>
      <c r="L281" s="1">
        <v>0</v>
      </c>
      <c r="M281" s="16">
        <f t="shared" si="4"/>
        <v>143.13</v>
      </c>
      <c r="N281" s="1">
        <v>0</v>
      </c>
    </row>
    <row r="282" spans="1:14">
      <c r="A282" s="2">
        <v>46006</v>
      </c>
      <c r="B282" s="1">
        <v>1280</v>
      </c>
      <c r="C282" s="1">
        <v>42</v>
      </c>
      <c r="D282" s="1" t="s">
        <v>52</v>
      </c>
      <c r="E282" s="1" t="s">
        <v>40</v>
      </c>
      <c r="F282" s="1" t="s">
        <v>41</v>
      </c>
      <c r="G282" s="1">
        <v>13</v>
      </c>
      <c r="H282" s="1" t="s">
        <v>45</v>
      </c>
      <c r="I282" s="1" t="s">
        <v>33</v>
      </c>
      <c r="J282" s="1">
        <v>2</v>
      </c>
      <c r="K282" s="1">
        <v>54.9</v>
      </c>
      <c r="L282" s="1">
        <v>0</v>
      </c>
      <c r="M282" s="16">
        <f t="shared" si="4"/>
        <v>109.8</v>
      </c>
      <c r="N282" s="1">
        <v>0</v>
      </c>
    </row>
    <row r="283" spans="1:14">
      <c r="A283" s="2">
        <v>46006</v>
      </c>
      <c r="B283" s="1">
        <v>1280</v>
      </c>
      <c r="C283" s="1">
        <v>42</v>
      </c>
      <c r="D283" s="1" t="s">
        <v>52</v>
      </c>
      <c r="E283" s="1" t="s">
        <v>40</v>
      </c>
      <c r="F283" s="1" t="s">
        <v>41</v>
      </c>
      <c r="G283" s="1">
        <v>15</v>
      </c>
      <c r="H283" s="1" t="s">
        <v>48</v>
      </c>
      <c r="I283" s="1" t="s">
        <v>33</v>
      </c>
      <c r="J283" s="1">
        <v>1</v>
      </c>
      <c r="K283" s="1">
        <v>47.71</v>
      </c>
      <c r="L283" s="1">
        <v>0</v>
      </c>
      <c r="M283" s="16">
        <f t="shared" si="4"/>
        <v>47.71</v>
      </c>
      <c r="N283" s="1">
        <v>0</v>
      </c>
    </row>
    <row r="284" spans="1:14">
      <c r="A284" s="2">
        <v>46055</v>
      </c>
      <c r="B284" s="1">
        <v>1447</v>
      </c>
      <c r="C284" s="1">
        <v>42</v>
      </c>
      <c r="D284" s="1" t="s">
        <v>52</v>
      </c>
      <c r="E284" s="1" t="s">
        <v>181</v>
      </c>
      <c r="F284" s="1" t="s">
        <v>41</v>
      </c>
      <c r="G284" s="1">
        <v>10</v>
      </c>
      <c r="H284" s="1" t="s">
        <v>32</v>
      </c>
      <c r="I284" s="1" t="s">
        <v>33</v>
      </c>
      <c r="J284" s="1">
        <v>1</v>
      </c>
      <c r="K284" s="1">
        <v>62.68</v>
      </c>
      <c r="L284" s="1">
        <v>15</v>
      </c>
      <c r="M284" s="16">
        <f t="shared" si="4"/>
        <v>53.277999999999999</v>
      </c>
      <c r="N284" s="1">
        <v>0</v>
      </c>
    </row>
    <row r="285" spans="1:14">
      <c r="A285" s="2">
        <v>46055</v>
      </c>
      <c r="B285" s="1">
        <v>1447</v>
      </c>
      <c r="C285" s="1">
        <v>42</v>
      </c>
      <c r="D285" s="1" t="s">
        <v>52</v>
      </c>
      <c r="E285" s="1" t="s">
        <v>40</v>
      </c>
      <c r="F285" s="1" t="s">
        <v>41</v>
      </c>
      <c r="G285" s="1">
        <v>34</v>
      </c>
      <c r="H285" s="1" t="s">
        <v>130</v>
      </c>
      <c r="I285" s="1" t="s">
        <v>31</v>
      </c>
      <c r="J285" s="1">
        <v>1</v>
      </c>
      <c r="K285" s="1">
        <v>58.26</v>
      </c>
      <c r="L285" s="1">
        <v>15</v>
      </c>
      <c r="M285" s="16">
        <f t="shared" si="4"/>
        <v>49.520999999999994</v>
      </c>
      <c r="N285" s="1">
        <v>0</v>
      </c>
    </row>
    <row r="286" spans="1:14">
      <c r="A286" s="2">
        <v>45994</v>
      </c>
      <c r="B286" s="1">
        <v>1218</v>
      </c>
      <c r="C286" s="1">
        <v>43</v>
      </c>
      <c r="D286" s="1" t="s">
        <v>152</v>
      </c>
      <c r="E286" s="1" t="s">
        <v>68</v>
      </c>
      <c r="F286" s="1" t="s">
        <v>41</v>
      </c>
      <c r="G286" s="1">
        <v>6</v>
      </c>
      <c r="H286" s="1" t="s">
        <v>99</v>
      </c>
      <c r="I286" s="1" t="s">
        <v>21</v>
      </c>
      <c r="J286" s="1">
        <v>2</v>
      </c>
      <c r="K286" s="1">
        <v>70.47</v>
      </c>
      <c r="L286" s="1">
        <v>0</v>
      </c>
      <c r="M286" s="16">
        <f t="shared" si="4"/>
        <v>140.94</v>
      </c>
      <c r="N286" s="1">
        <v>0</v>
      </c>
    </row>
    <row r="287" spans="1:14">
      <c r="A287" s="2">
        <v>46044</v>
      </c>
      <c r="B287" s="1">
        <v>1420</v>
      </c>
      <c r="C287" s="1">
        <v>43</v>
      </c>
      <c r="D287" s="1" t="s">
        <v>152</v>
      </c>
      <c r="E287" s="1" t="s">
        <v>195</v>
      </c>
      <c r="F287" s="1" t="s">
        <v>35</v>
      </c>
      <c r="G287" s="1">
        <v>7</v>
      </c>
      <c r="H287" s="1" t="s">
        <v>46</v>
      </c>
      <c r="I287" s="1" t="s">
        <v>21</v>
      </c>
      <c r="J287" s="1">
        <v>1</v>
      </c>
      <c r="K287" s="1">
        <v>79.39</v>
      </c>
      <c r="L287" s="1">
        <v>10</v>
      </c>
      <c r="M287" s="16">
        <f t="shared" si="4"/>
        <v>71.451000000000008</v>
      </c>
      <c r="N287" s="1">
        <v>0</v>
      </c>
    </row>
    <row r="288" spans="1:14">
      <c r="A288" s="2">
        <v>46044</v>
      </c>
      <c r="B288" s="1">
        <v>1420</v>
      </c>
      <c r="C288" s="1">
        <v>43</v>
      </c>
      <c r="D288" s="1" t="s">
        <v>152</v>
      </c>
      <c r="E288" s="1" t="s">
        <v>68</v>
      </c>
      <c r="F288" s="1" t="s">
        <v>41</v>
      </c>
      <c r="G288" s="1">
        <v>16</v>
      </c>
      <c r="H288" s="1" t="s">
        <v>77</v>
      </c>
      <c r="I288" s="1" t="s">
        <v>17</v>
      </c>
      <c r="J288" s="1">
        <v>3</v>
      </c>
      <c r="K288" s="1">
        <v>11.81</v>
      </c>
      <c r="L288" s="1">
        <v>15</v>
      </c>
      <c r="M288" s="16">
        <f t="shared" si="4"/>
        <v>30.115499999999997</v>
      </c>
      <c r="N288" s="1">
        <v>0</v>
      </c>
    </row>
    <row r="289" spans="1:14">
      <c r="A289" s="2">
        <v>46020</v>
      </c>
      <c r="B289" s="1">
        <v>1350</v>
      </c>
      <c r="C289" s="1">
        <v>44</v>
      </c>
      <c r="D289" s="1" t="s">
        <v>172</v>
      </c>
      <c r="E289" s="1" t="s">
        <v>29</v>
      </c>
      <c r="F289" s="1" t="s">
        <v>55</v>
      </c>
      <c r="G289" s="1">
        <v>39</v>
      </c>
      <c r="H289" s="1" t="s">
        <v>36</v>
      </c>
      <c r="I289" s="14" t="str">
        <f>_xlfn.XLOOKUP(H289,'Product Data'!$B$2:$B$100,'Product Data'!$C$2:$C$100,"Not Found")</f>
        <v>Toys</v>
      </c>
      <c r="J289" s="1">
        <v>2</v>
      </c>
      <c r="K289" s="1">
        <v>39.979999999999997</v>
      </c>
      <c r="L289" s="1">
        <v>0</v>
      </c>
      <c r="M289" s="16">
        <f t="shared" si="4"/>
        <v>79.959999999999994</v>
      </c>
      <c r="N289" s="1">
        <v>0</v>
      </c>
    </row>
    <row r="290" spans="1:14">
      <c r="A290" s="2">
        <v>46075</v>
      </c>
      <c r="B290" s="1">
        <v>1044</v>
      </c>
      <c r="C290" s="1">
        <v>44</v>
      </c>
      <c r="D290" s="1" t="s">
        <v>172</v>
      </c>
      <c r="E290" s="1" t="s">
        <v>29</v>
      </c>
      <c r="F290" s="1" t="s">
        <v>55</v>
      </c>
      <c r="G290" s="1">
        <v>9</v>
      </c>
      <c r="H290" s="1" t="s">
        <v>69</v>
      </c>
      <c r="I290" s="1" t="s">
        <v>33</v>
      </c>
      <c r="J290" s="1">
        <v>1</v>
      </c>
      <c r="K290" s="1">
        <v>20.69</v>
      </c>
      <c r="L290" s="1">
        <v>0</v>
      </c>
      <c r="M290" s="16">
        <f t="shared" si="4"/>
        <v>20.69</v>
      </c>
      <c r="N290" s="1">
        <v>0</v>
      </c>
    </row>
    <row r="291" spans="1:14">
      <c r="A291" s="2">
        <v>46003</v>
      </c>
      <c r="B291" s="1">
        <v>1264</v>
      </c>
      <c r="C291" s="1">
        <v>45</v>
      </c>
      <c r="D291" s="1" t="s">
        <v>136</v>
      </c>
      <c r="E291" s="1" t="s">
        <v>29</v>
      </c>
      <c r="F291" s="1" t="s">
        <v>19</v>
      </c>
      <c r="G291" s="1">
        <v>35</v>
      </c>
      <c r="H291" s="1" t="s">
        <v>104</v>
      </c>
      <c r="I291" s="1" t="s">
        <v>27</v>
      </c>
      <c r="J291" s="1">
        <v>1</v>
      </c>
      <c r="K291" s="1">
        <v>11.3</v>
      </c>
      <c r="L291" s="1">
        <v>0</v>
      </c>
      <c r="M291" s="16">
        <f t="shared" si="4"/>
        <v>11.3</v>
      </c>
      <c r="N291" s="1">
        <v>0</v>
      </c>
    </row>
    <row r="292" spans="1:14">
      <c r="A292" s="2">
        <v>46039</v>
      </c>
      <c r="B292" s="1">
        <v>1409</v>
      </c>
      <c r="C292" s="1">
        <v>45</v>
      </c>
      <c r="D292" s="1" t="s">
        <v>136</v>
      </c>
      <c r="E292" s="1" t="s">
        <v>29</v>
      </c>
      <c r="F292" s="1" t="s">
        <v>19</v>
      </c>
      <c r="G292" s="1">
        <v>3</v>
      </c>
      <c r="H292" s="1" t="s">
        <v>59</v>
      </c>
      <c r="I292" s="1" t="s">
        <v>21</v>
      </c>
      <c r="J292" s="1">
        <v>3</v>
      </c>
      <c r="K292" s="1">
        <v>25.47</v>
      </c>
      <c r="L292" s="1">
        <v>0</v>
      </c>
      <c r="M292" s="16">
        <f t="shared" si="4"/>
        <v>76.41</v>
      </c>
      <c r="N292" s="1">
        <v>0</v>
      </c>
    </row>
    <row r="293" spans="1:14">
      <c r="A293" s="2">
        <v>46039</v>
      </c>
      <c r="B293" s="1">
        <v>1409</v>
      </c>
      <c r="C293" s="1">
        <v>45</v>
      </c>
      <c r="D293" s="1" t="s">
        <v>136</v>
      </c>
      <c r="E293" s="1" t="s">
        <v>29</v>
      </c>
      <c r="F293" s="1" t="s">
        <v>19</v>
      </c>
      <c r="G293" s="1">
        <v>19</v>
      </c>
      <c r="H293" s="1" t="s">
        <v>64</v>
      </c>
      <c r="I293" s="1" t="s">
        <v>17</v>
      </c>
      <c r="J293" s="1">
        <v>1</v>
      </c>
      <c r="K293" s="1">
        <v>50.14</v>
      </c>
      <c r="L293" s="1">
        <v>0</v>
      </c>
      <c r="M293" s="16">
        <f t="shared" si="4"/>
        <v>50.14</v>
      </c>
      <c r="N293" s="1">
        <v>0</v>
      </c>
    </row>
    <row r="294" spans="1:14">
      <c r="A294" s="2">
        <v>45969</v>
      </c>
      <c r="B294" s="1">
        <v>1090</v>
      </c>
      <c r="C294" s="1">
        <v>46</v>
      </c>
      <c r="D294" s="1" t="s">
        <v>116</v>
      </c>
      <c r="E294" s="1" t="s">
        <v>14</v>
      </c>
      <c r="F294" s="1" t="s">
        <v>55</v>
      </c>
      <c r="G294" s="1">
        <v>11</v>
      </c>
      <c r="H294" s="1" t="s">
        <v>65</v>
      </c>
      <c r="I294" s="1" t="s">
        <v>33</v>
      </c>
      <c r="J294" s="1">
        <v>3</v>
      </c>
      <c r="K294" s="1">
        <v>58.35</v>
      </c>
      <c r="L294" s="1">
        <v>10</v>
      </c>
      <c r="M294" s="16">
        <f t="shared" si="4"/>
        <v>157.54500000000002</v>
      </c>
      <c r="N294" s="1">
        <v>0</v>
      </c>
    </row>
    <row r="295" spans="1:14">
      <c r="A295" s="2">
        <v>45911</v>
      </c>
      <c r="B295" s="1">
        <v>1096</v>
      </c>
      <c r="C295" s="1">
        <v>46</v>
      </c>
      <c r="D295" s="1" t="s">
        <v>116</v>
      </c>
      <c r="E295" s="1" t="s">
        <v>14</v>
      </c>
      <c r="F295" s="1" t="s">
        <v>55</v>
      </c>
      <c r="G295" s="1">
        <v>21</v>
      </c>
      <c r="H295" s="1" t="str">
        <f>IF(I295="Apparel","Joggers",IF(I295="Beauty","Vitamin C Serum",IF(I295="Electronics","Wireless Earbuds",IF(I295="Home","LED Lamp",IF(I295="Sports","Water Bottle",IF(I295="Toys","RC Car",""))))))</f>
        <v>LED Lamp</v>
      </c>
      <c r="I295" s="1" t="s">
        <v>17</v>
      </c>
      <c r="J295" s="1">
        <v>1</v>
      </c>
      <c r="K295" s="1">
        <v>49.37</v>
      </c>
      <c r="L295" s="1">
        <v>10</v>
      </c>
      <c r="M295" s="16">
        <f t="shared" si="4"/>
        <v>44.433</v>
      </c>
      <c r="N295" s="1">
        <v>0</v>
      </c>
    </row>
    <row r="296" spans="1:14">
      <c r="A296" s="2">
        <v>45911</v>
      </c>
      <c r="B296" s="1">
        <v>1096</v>
      </c>
      <c r="C296" s="1">
        <v>46</v>
      </c>
      <c r="D296" s="1" t="s">
        <v>116</v>
      </c>
      <c r="E296" s="1" t="s">
        <v>14</v>
      </c>
      <c r="F296" s="1" t="s">
        <v>55</v>
      </c>
      <c r="G296" s="1">
        <v>33</v>
      </c>
      <c r="H296" s="1" t="s">
        <v>42</v>
      </c>
      <c r="I296" s="1" t="s">
        <v>31</v>
      </c>
      <c r="J296" s="1">
        <v>1</v>
      </c>
      <c r="K296" s="1">
        <v>40.94</v>
      </c>
      <c r="L296" s="1">
        <v>10</v>
      </c>
      <c r="M296" s="16">
        <f t="shared" si="4"/>
        <v>36.845999999999997</v>
      </c>
      <c r="N296" s="1">
        <v>0</v>
      </c>
    </row>
    <row r="297" spans="1:14">
      <c r="A297" s="2">
        <v>45976</v>
      </c>
      <c r="B297" s="1">
        <v>1044</v>
      </c>
      <c r="C297" s="1">
        <v>46</v>
      </c>
      <c r="D297" s="1" t="s">
        <v>116</v>
      </c>
      <c r="E297" s="1" t="s">
        <v>14</v>
      </c>
      <c r="F297" s="1" t="s">
        <v>55</v>
      </c>
      <c r="G297" s="1">
        <v>32</v>
      </c>
      <c r="H297" s="1" t="s">
        <v>103</v>
      </c>
      <c r="I297" s="1" t="s">
        <v>31</v>
      </c>
      <c r="J297" s="1">
        <v>1</v>
      </c>
      <c r="K297" s="1">
        <v>61.06</v>
      </c>
      <c r="L297" s="1">
        <v>0</v>
      </c>
      <c r="M297" s="16">
        <f t="shared" si="4"/>
        <v>61.06</v>
      </c>
      <c r="N297" s="1">
        <v>0</v>
      </c>
    </row>
    <row r="298" spans="1:14">
      <c r="A298" s="2">
        <v>46016</v>
      </c>
      <c r="B298" s="1">
        <v>1140</v>
      </c>
      <c r="C298" s="1">
        <v>46</v>
      </c>
      <c r="D298" s="1" t="s">
        <v>116</v>
      </c>
      <c r="E298" s="1" t="s">
        <v>14</v>
      </c>
      <c r="F298" s="1" t="s">
        <v>55</v>
      </c>
      <c r="G298" s="1">
        <v>40</v>
      </c>
      <c r="H298" s="1" t="s">
        <v>53</v>
      </c>
      <c r="I298" s="1" t="s">
        <v>27</v>
      </c>
      <c r="J298" s="1">
        <v>1</v>
      </c>
      <c r="K298" s="1">
        <v>47.25</v>
      </c>
      <c r="L298" s="1">
        <v>0</v>
      </c>
      <c r="M298" s="16">
        <f t="shared" si="4"/>
        <v>47.25</v>
      </c>
      <c r="N298" s="1">
        <v>0</v>
      </c>
    </row>
    <row r="299" spans="1:14">
      <c r="A299" s="2">
        <v>45978</v>
      </c>
      <c r="B299" s="1">
        <v>1140</v>
      </c>
      <c r="C299" s="1">
        <v>46</v>
      </c>
      <c r="D299" s="1" t="s">
        <v>116</v>
      </c>
      <c r="E299" s="1" t="s">
        <v>14</v>
      </c>
      <c r="F299" s="1" t="s">
        <v>55</v>
      </c>
      <c r="G299" s="1">
        <v>31</v>
      </c>
      <c r="H299" s="1" t="s">
        <v>30</v>
      </c>
      <c r="I299" s="1" t="s">
        <v>31</v>
      </c>
      <c r="J299" s="1">
        <v>3</v>
      </c>
      <c r="K299" s="1">
        <v>57.51</v>
      </c>
      <c r="L299" s="1">
        <v>10</v>
      </c>
      <c r="M299" s="16">
        <f t="shared" si="4"/>
        <v>155.27700000000002</v>
      </c>
      <c r="N299" s="1">
        <v>1</v>
      </c>
    </row>
    <row r="300" spans="1:14">
      <c r="A300" s="2">
        <v>45978</v>
      </c>
      <c r="B300" s="1">
        <v>1140</v>
      </c>
      <c r="C300" s="1">
        <v>46</v>
      </c>
      <c r="D300" s="1" t="s">
        <v>116</v>
      </c>
      <c r="E300" s="1" t="s">
        <v>14</v>
      </c>
      <c r="F300" s="1" t="s">
        <v>55</v>
      </c>
      <c r="G300" s="1">
        <v>3</v>
      </c>
      <c r="H300" s="1" t="s">
        <v>59</v>
      </c>
      <c r="I300" s="1" t="s">
        <v>21</v>
      </c>
      <c r="J300" s="1">
        <v>1</v>
      </c>
      <c r="K300" s="1">
        <v>25.47</v>
      </c>
      <c r="L300" s="1">
        <v>10</v>
      </c>
      <c r="M300" s="16">
        <f t="shared" si="4"/>
        <v>22.922999999999998</v>
      </c>
      <c r="N300" s="1">
        <v>0</v>
      </c>
    </row>
    <row r="301" spans="1:14">
      <c r="A301" s="2">
        <v>45978</v>
      </c>
      <c r="B301" s="1">
        <v>1140</v>
      </c>
      <c r="C301" s="1">
        <v>46</v>
      </c>
      <c r="D301" s="1" t="s">
        <v>116</v>
      </c>
      <c r="E301" s="1" t="s">
        <v>14</v>
      </c>
      <c r="F301" s="1" t="s">
        <v>55</v>
      </c>
      <c r="G301" s="1">
        <v>5</v>
      </c>
      <c r="H301" s="1" t="s">
        <v>38</v>
      </c>
      <c r="I301" s="1" t="s">
        <v>21</v>
      </c>
      <c r="J301" s="1">
        <v>1</v>
      </c>
      <c r="K301" s="1">
        <v>42.53</v>
      </c>
      <c r="L301" s="1">
        <v>5</v>
      </c>
      <c r="M301" s="16">
        <f t="shared" si="4"/>
        <v>40.403500000000001</v>
      </c>
      <c r="N301" s="1">
        <v>0</v>
      </c>
    </row>
    <row r="302" spans="1:14">
      <c r="A302" s="2">
        <v>45979</v>
      </c>
      <c r="B302" s="1">
        <v>1145</v>
      </c>
      <c r="C302" s="1">
        <v>46</v>
      </c>
      <c r="D302" s="1" t="s">
        <v>116</v>
      </c>
      <c r="E302" s="1" t="s">
        <v>14</v>
      </c>
      <c r="F302" s="1" t="s">
        <v>55</v>
      </c>
      <c r="G302" s="1">
        <v>21</v>
      </c>
      <c r="H302" s="1" t="s">
        <v>97</v>
      </c>
      <c r="I302" s="1" t="s">
        <v>17</v>
      </c>
      <c r="J302" s="1">
        <v>1</v>
      </c>
      <c r="K302" s="1">
        <v>49.37</v>
      </c>
      <c r="L302" s="1">
        <v>0</v>
      </c>
      <c r="M302" s="16">
        <f t="shared" si="4"/>
        <v>49.37</v>
      </c>
      <c r="N302" s="1">
        <v>1</v>
      </c>
    </row>
    <row r="303" spans="1:14">
      <c r="A303" s="2">
        <v>46016</v>
      </c>
      <c r="B303" s="1">
        <v>1145</v>
      </c>
      <c r="C303" s="1">
        <v>46</v>
      </c>
      <c r="D303" s="1" t="s">
        <v>116</v>
      </c>
      <c r="E303" s="1" t="s">
        <v>14</v>
      </c>
      <c r="F303" s="1" t="s">
        <v>55</v>
      </c>
      <c r="G303" s="1">
        <v>24</v>
      </c>
      <c r="H303" s="1" t="s">
        <v>44</v>
      </c>
      <c r="I303" s="1" t="s">
        <v>37</v>
      </c>
      <c r="J303" s="1">
        <v>2</v>
      </c>
      <c r="K303" s="1">
        <v>43.42</v>
      </c>
      <c r="L303" s="1">
        <v>0</v>
      </c>
      <c r="M303" s="16">
        <f t="shared" si="4"/>
        <v>86.84</v>
      </c>
      <c r="N303" s="1">
        <v>0</v>
      </c>
    </row>
    <row r="304" spans="1:14">
      <c r="A304" s="2">
        <v>45979</v>
      </c>
      <c r="B304" s="1">
        <v>1145</v>
      </c>
      <c r="C304" s="1">
        <v>46</v>
      </c>
      <c r="D304" s="1" t="s">
        <v>116</v>
      </c>
      <c r="E304" s="1" t="s">
        <v>14</v>
      </c>
      <c r="F304" s="1" t="s">
        <v>55</v>
      </c>
      <c r="G304" s="1">
        <v>11</v>
      </c>
      <c r="H304" s="1" t="s">
        <v>65</v>
      </c>
      <c r="I304" s="1" t="s">
        <v>33</v>
      </c>
      <c r="J304" s="1">
        <v>2</v>
      </c>
      <c r="K304" s="1">
        <v>58.35</v>
      </c>
      <c r="L304" s="1">
        <v>0</v>
      </c>
      <c r="M304" s="16">
        <f t="shared" si="4"/>
        <v>116.7</v>
      </c>
      <c r="N304" s="1">
        <v>0</v>
      </c>
    </row>
    <row r="305" spans="1:14">
      <c r="A305" s="2">
        <v>45991</v>
      </c>
      <c r="B305" s="1">
        <v>1200</v>
      </c>
      <c r="C305" s="1">
        <v>46</v>
      </c>
      <c r="D305" s="1" t="s">
        <v>116</v>
      </c>
      <c r="E305" s="1" t="s">
        <v>14</v>
      </c>
      <c r="F305" s="1" t="s">
        <v>55</v>
      </c>
      <c r="G305" s="1">
        <v>36</v>
      </c>
      <c r="H305" s="1" t="s">
        <v>62</v>
      </c>
      <c r="I305" s="1" t="s">
        <v>27</v>
      </c>
      <c r="J305" s="1">
        <v>1</v>
      </c>
      <c r="K305" s="1">
        <v>23.23</v>
      </c>
      <c r="L305" s="1">
        <v>0</v>
      </c>
      <c r="M305" s="16">
        <f t="shared" si="4"/>
        <v>23.23</v>
      </c>
      <c r="N305" s="1">
        <v>0</v>
      </c>
    </row>
    <row r="306" spans="1:14">
      <c r="A306" s="2">
        <v>46005</v>
      </c>
      <c r="B306" s="1">
        <v>1276</v>
      </c>
      <c r="C306" s="1">
        <v>46</v>
      </c>
      <c r="D306" s="1" t="s">
        <v>116</v>
      </c>
      <c r="E306" s="1" t="s">
        <v>14</v>
      </c>
      <c r="F306" s="1" t="s">
        <v>55</v>
      </c>
      <c r="G306" s="1">
        <v>32</v>
      </c>
      <c r="H306" s="1" t="s">
        <v>103</v>
      </c>
      <c r="I306" s="1" t="s">
        <v>31</v>
      </c>
      <c r="J306" s="1">
        <v>1</v>
      </c>
      <c r="K306" s="1">
        <v>61.06</v>
      </c>
      <c r="L306" s="1">
        <v>0</v>
      </c>
      <c r="M306" s="16">
        <f t="shared" si="4"/>
        <v>61.06</v>
      </c>
      <c r="N306" s="1">
        <v>0</v>
      </c>
    </row>
    <row r="307" spans="1:14">
      <c r="A307" s="2">
        <v>46005</v>
      </c>
      <c r="B307" s="1">
        <v>1276</v>
      </c>
      <c r="C307" s="1">
        <v>46</v>
      </c>
      <c r="D307" s="1" t="s">
        <v>116</v>
      </c>
      <c r="E307" s="1" t="s">
        <v>14</v>
      </c>
      <c r="F307" s="1" t="s">
        <v>55</v>
      </c>
      <c r="G307" s="1">
        <v>22</v>
      </c>
      <c r="H307" s="1" t="s">
        <v>75</v>
      </c>
      <c r="I307" s="1" t="s">
        <v>17</v>
      </c>
      <c r="J307" s="1">
        <v>2</v>
      </c>
      <c r="K307" s="1">
        <v>29.98</v>
      </c>
      <c r="L307" s="1">
        <v>5</v>
      </c>
      <c r="M307" s="16">
        <f t="shared" si="4"/>
        <v>56.961999999999996</v>
      </c>
      <c r="N307" s="1">
        <v>0</v>
      </c>
    </row>
    <row r="308" spans="1:14">
      <c r="A308" s="2">
        <v>46005</v>
      </c>
      <c r="B308" s="1">
        <v>1276</v>
      </c>
      <c r="C308" s="1">
        <v>46</v>
      </c>
      <c r="D308" s="1" t="s">
        <v>116</v>
      </c>
      <c r="E308" s="1" t="s">
        <v>14</v>
      </c>
      <c r="F308" s="1" t="s">
        <v>55</v>
      </c>
      <c r="G308" s="1">
        <v>29</v>
      </c>
      <c r="H308" s="1" t="s">
        <v>96</v>
      </c>
      <c r="I308" s="1" t="s">
        <v>31</v>
      </c>
      <c r="J308" s="1">
        <v>1</v>
      </c>
      <c r="K308" s="1">
        <v>45.67</v>
      </c>
      <c r="L308" s="1">
        <v>0</v>
      </c>
      <c r="M308" s="16">
        <f t="shared" si="4"/>
        <v>45.67</v>
      </c>
      <c r="N308" s="1">
        <v>0</v>
      </c>
    </row>
    <row r="309" spans="1:14">
      <c r="A309" s="2">
        <v>46010</v>
      </c>
      <c r="B309" s="1">
        <v>1297</v>
      </c>
      <c r="C309" s="1">
        <v>46</v>
      </c>
      <c r="D309" s="1" t="s">
        <v>116</v>
      </c>
      <c r="E309" s="1" t="s">
        <v>14</v>
      </c>
      <c r="F309" s="1" t="s">
        <v>55</v>
      </c>
      <c r="G309" s="1">
        <v>39</v>
      </c>
      <c r="H309" s="1" t="s">
        <v>36</v>
      </c>
      <c r="I309" s="1" t="s">
        <v>27</v>
      </c>
      <c r="J309" s="1">
        <v>3</v>
      </c>
      <c r="K309" s="1">
        <v>39.979999999999997</v>
      </c>
      <c r="L309" s="1">
        <v>5</v>
      </c>
      <c r="M309" s="16">
        <f t="shared" si="4"/>
        <v>113.943</v>
      </c>
      <c r="N309" s="1">
        <v>0</v>
      </c>
    </row>
    <row r="310" spans="1:14">
      <c r="A310" s="2">
        <v>46015</v>
      </c>
      <c r="B310" s="1">
        <v>1318</v>
      </c>
      <c r="C310" s="1">
        <v>46</v>
      </c>
      <c r="D310" s="1" t="s">
        <v>116</v>
      </c>
      <c r="E310" s="1" t="s">
        <v>14</v>
      </c>
      <c r="F310" s="1" t="s">
        <v>55</v>
      </c>
      <c r="G310" s="1">
        <v>28</v>
      </c>
      <c r="H310" s="1" t="s">
        <v>51</v>
      </c>
      <c r="I310" s="1" t="s">
        <v>37</v>
      </c>
      <c r="J310" s="1">
        <v>1</v>
      </c>
      <c r="K310" s="1">
        <v>21.24</v>
      </c>
      <c r="L310" s="1">
        <v>25</v>
      </c>
      <c r="M310" s="16">
        <f t="shared" si="4"/>
        <v>15.93</v>
      </c>
      <c r="N310" s="1">
        <v>0</v>
      </c>
    </row>
    <row r="311" spans="1:14">
      <c r="A311" s="2">
        <v>46016</v>
      </c>
      <c r="B311" s="1">
        <v>1324</v>
      </c>
      <c r="C311" s="1">
        <v>46</v>
      </c>
      <c r="D311" s="1" t="s">
        <v>116</v>
      </c>
      <c r="E311" s="1" t="s">
        <v>14</v>
      </c>
      <c r="F311" s="1" t="s">
        <v>55</v>
      </c>
      <c r="G311" s="1">
        <v>31</v>
      </c>
      <c r="H311" s="1" t="s">
        <v>30</v>
      </c>
      <c r="I311" s="1" t="s">
        <v>31</v>
      </c>
      <c r="J311" s="1">
        <v>1</v>
      </c>
      <c r="K311" s="1">
        <v>57.51</v>
      </c>
      <c r="L311" s="1">
        <v>5.5</v>
      </c>
      <c r="M311" s="16">
        <f t="shared" si="4"/>
        <v>54.346949999999993</v>
      </c>
      <c r="N311" s="1">
        <v>1</v>
      </c>
    </row>
    <row r="312" spans="1:14">
      <c r="A312" s="2">
        <v>46016</v>
      </c>
      <c r="B312" s="1">
        <v>1324</v>
      </c>
      <c r="C312" s="1">
        <v>46</v>
      </c>
      <c r="D312" s="1" t="s">
        <v>116</v>
      </c>
      <c r="E312" s="1" t="s">
        <v>14</v>
      </c>
      <c r="F312" s="1" t="s">
        <v>55</v>
      </c>
      <c r="G312" s="1">
        <v>30</v>
      </c>
      <c r="H312" s="1" t="s">
        <v>57</v>
      </c>
      <c r="I312" s="1" t="s">
        <v>31</v>
      </c>
      <c r="J312" s="1">
        <v>1</v>
      </c>
      <c r="K312" s="1">
        <v>41.49</v>
      </c>
      <c r="L312" s="1">
        <v>0</v>
      </c>
      <c r="M312" s="16">
        <f t="shared" si="4"/>
        <v>41.49</v>
      </c>
      <c r="N312" s="1">
        <v>0</v>
      </c>
    </row>
    <row r="313" spans="1:14">
      <c r="A313" s="2">
        <v>46023</v>
      </c>
      <c r="B313" s="1">
        <v>1364</v>
      </c>
      <c r="C313" s="1">
        <v>46</v>
      </c>
      <c r="D313" s="1" t="s">
        <v>116</v>
      </c>
      <c r="E313" s="1" t="s">
        <v>14</v>
      </c>
      <c r="F313" s="1" t="s">
        <v>55</v>
      </c>
      <c r="G313" s="1">
        <v>36</v>
      </c>
      <c r="H313" s="1" t="s">
        <v>62</v>
      </c>
      <c r="I313" s="1" t="s">
        <v>27</v>
      </c>
      <c r="J313" s="1">
        <v>1</v>
      </c>
      <c r="K313" s="1">
        <v>23.23</v>
      </c>
      <c r="L313" s="1">
        <v>10</v>
      </c>
      <c r="M313" s="16">
        <f t="shared" si="4"/>
        <v>20.907</v>
      </c>
      <c r="N313" s="1">
        <v>0</v>
      </c>
    </row>
    <row r="314" spans="1:14">
      <c r="A314" s="2">
        <v>46023</v>
      </c>
      <c r="B314" s="1">
        <v>1364</v>
      </c>
      <c r="C314" s="1">
        <v>46</v>
      </c>
      <c r="D314" s="1" t="s">
        <v>116</v>
      </c>
      <c r="E314" s="1" t="s">
        <v>14</v>
      </c>
      <c r="F314" s="1" t="s">
        <v>55</v>
      </c>
      <c r="G314" s="1">
        <v>4</v>
      </c>
      <c r="H314" s="1" t="s">
        <v>92</v>
      </c>
      <c r="I314" s="1" t="s">
        <v>21</v>
      </c>
      <c r="J314" s="1">
        <v>1</v>
      </c>
      <c r="K314" s="1">
        <v>34.83</v>
      </c>
      <c r="L314" s="1">
        <v>0</v>
      </c>
      <c r="M314" s="16">
        <f t="shared" si="4"/>
        <v>34.83</v>
      </c>
      <c r="N314" s="1">
        <v>0</v>
      </c>
    </row>
    <row r="315" spans="1:14">
      <c r="A315" s="2">
        <v>46023</v>
      </c>
      <c r="B315" s="1">
        <v>1364</v>
      </c>
      <c r="C315" s="1">
        <v>46</v>
      </c>
      <c r="D315" s="1" t="s">
        <v>116</v>
      </c>
      <c r="E315" s="1" t="s">
        <v>14</v>
      </c>
      <c r="F315" s="1" t="s">
        <v>55</v>
      </c>
      <c r="G315" s="1">
        <v>32</v>
      </c>
      <c r="H315" s="1" t="s">
        <v>103</v>
      </c>
      <c r="I315" s="1" t="s">
        <v>31</v>
      </c>
      <c r="J315" s="1">
        <v>1</v>
      </c>
      <c r="K315" s="1">
        <v>61.06</v>
      </c>
      <c r="L315" s="1">
        <v>0</v>
      </c>
      <c r="M315" s="16">
        <f t="shared" si="4"/>
        <v>61.06</v>
      </c>
      <c r="N315" s="1">
        <v>0</v>
      </c>
    </row>
    <row r="316" spans="1:14">
      <c r="A316" s="2">
        <v>46049</v>
      </c>
      <c r="B316" s="1">
        <v>1433</v>
      </c>
      <c r="C316" s="1">
        <v>46</v>
      </c>
      <c r="D316" s="1" t="s">
        <v>116</v>
      </c>
      <c r="E316" s="1" t="s">
        <v>14</v>
      </c>
      <c r="F316" s="1" t="s">
        <v>55</v>
      </c>
      <c r="G316" s="1">
        <v>37</v>
      </c>
      <c r="H316" s="1" t="s">
        <v>26</v>
      </c>
      <c r="I316" s="1" t="s">
        <v>27</v>
      </c>
      <c r="J316" s="1">
        <v>1</v>
      </c>
      <c r="K316" s="1">
        <v>52.67</v>
      </c>
      <c r="L316" s="1">
        <v>5</v>
      </c>
      <c r="M316" s="16">
        <f t="shared" si="4"/>
        <v>50.036499999999997</v>
      </c>
      <c r="N316" s="1">
        <v>0</v>
      </c>
    </row>
    <row r="317" spans="1:14">
      <c r="A317" s="2">
        <v>46050</v>
      </c>
      <c r="B317" s="1">
        <v>1435</v>
      </c>
      <c r="C317" s="1">
        <v>46</v>
      </c>
      <c r="D317" s="1" t="s">
        <v>116</v>
      </c>
      <c r="E317" s="1" t="s">
        <v>14</v>
      </c>
      <c r="F317" s="1" t="s">
        <v>55</v>
      </c>
      <c r="G317" s="1">
        <v>3</v>
      </c>
      <c r="H317" s="1" t="s">
        <v>59</v>
      </c>
      <c r="I317" s="1" t="s">
        <v>21</v>
      </c>
      <c r="J317" s="1">
        <v>3</v>
      </c>
      <c r="K317" s="1">
        <v>25.47</v>
      </c>
      <c r="L317" s="1">
        <v>20</v>
      </c>
      <c r="M317" s="16">
        <f t="shared" si="4"/>
        <v>61.128</v>
      </c>
      <c r="N317" s="1">
        <v>0</v>
      </c>
    </row>
    <row r="318" spans="1:14">
      <c r="A318" s="2">
        <v>46050</v>
      </c>
      <c r="B318" s="1">
        <v>1435</v>
      </c>
      <c r="C318" s="1">
        <v>46</v>
      </c>
      <c r="D318" s="1" t="s">
        <v>116</v>
      </c>
      <c r="E318" s="1" t="s">
        <v>14</v>
      </c>
      <c r="F318" s="1" t="s">
        <v>55</v>
      </c>
      <c r="G318" s="1">
        <v>38</v>
      </c>
      <c r="H318" s="1" t="s">
        <v>70</v>
      </c>
      <c r="I318" s="1" t="s">
        <v>27</v>
      </c>
      <c r="J318" s="1">
        <v>1</v>
      </c>
      <c r="K318" s="1">
        <v>25.14</v>
      </c>
      <c r="L318" s="1">
        <v>25</v>
      </c>
      <c r="M318" s="16">
        <f t="shared" si="4"/>
        <v>18.855</v>
      </c>
      <c r="N318" s="1">
        <v>0</v>
      </c>
    </row>
    <row r="319" spans="1:14">
      <c r="A319" s="2">
        <v>46075</v>
      </c>
      <c r="B319" s="1">
        <v>1519</v>
      </c>
      <c r="C319" s="1">
        <v>46</v>
      </c>
      <c r="D319" s="1" t="s">
        <v>116</v>
      </c>
      <c r="E319" s="1" t="s">
        <v>14</v>
      </c>
      <c r="F319" s="1" t="s">
        <v>55</v>
      </c>
      <c r="G319" s="1">
        <v>24</v>
      </c>
      <c r="H319" s="1" t="s">
        <v>44</v>
      </c>
      <c r="I319" s="1" t="s">
        <v>37</v>
      </c>
      <c r="J319" s="1">
        <v>1</v>
      </c>
      <c r="K319" s="1">
        <v>43.42</v>
      </c>
      <c r="L319" s="1">
        <v>5</v>
      </c>
      <c r="M319" s="16">
        <f t="shared" si="4"/>
        <v>41.249000000000002</v>
      </c>
      <c r="N319" s="1">
        <v>0</v>
      </c>
    </row>
    <row r="320" spans="1:14">
      <c r="A320" s="2">
        <v>46080</v>
      </c>
      <c r="B320" s="1">
        <v>1536</v>
      </c>
      <c r="C320" s="1">
        <v>46</v>
      </c>
      <c r="D320" s="1" t="s">
        <v>116</v>
      </c>
      <c r="E320" s="1" t="s">
        <v>14</v>
      </c>
      <c r="F320" s="1" t="s">
        <v>55</v>
      </c>
      <c r="G320" s="1">
        <v>23</v>
      </c>
      <c r="H320" s="1" t="s">
        <v>98</v>
      </c>
      <c r="I320" s="1" t="s">
        <v>37</v>
      </c>
      <c r="J320" s="1">
        <v>1</v>
      </c>
      <c r="K320" s="1">
        <v>38.14</v>
      </c>
      <c r="L320" s="1">
        <v>10</v>
      </c>
      <c r="M320" s="16">
        <f t="shared" si="4"/>
        <v>34.326000000000001</v>
      </c>
      <c r="N320" s="1">
        <v>0</v>
      </c>
    </row>
    <row r="321" spans="1:14">
      <c r="A321" s="2">
        <v>46080</v>
      </c>
      <c r="B321" s="1">
        <v>1044</v>
      </c>
      <c r="C321" s="1">
        <v>46</v>
      </c>
      <c r="D321" s="1" t="s">
        <v>116</v>
      </c>
      <c r="E321" s="1" t="s">
        <v>14</v>
      </c>
      <c r="F321" s="1" t="s">
        <v>55</v>
      </c>
      <c r="G321" s="1">
        <v>7</v>
      </c>
      <c r="H321" s="1" t="s">
        <v>46</v>
      </c>
      <c r="I321" s="1" t="s">
        <v>21</v>
      </c>
      <c r="J321" s="1">
        <v>1</v>
      </c>
      <c r="K321" s="1">
        <v>79.39</v>
      </c>
      <c r="L321" s="1">
        <v>10</v>
      </c>
      <c r="M321" s="16">
        <f t="shared" si="4"/>
        <v>71.451000000000008</v>
      </c>
      <c r="N321" s="1">
        <v>0</v>
      </c>
    </row>
    <row r="322" spans="1:14">
      <c r="A322" s="2">
        <v>46080</v>
      </c>
      <c r="B322" s="1">
        <v>1536</v>
      </c>
      <c r="C322" s="1">
        <v>46</v>
      </c>
      <c r="D322" s="1" t="s">
        <v>116</v>
      </c>
      <c r="E322" s="1" t="s">
        <v>14</v>
      </c>
      <c r="F322" s="1" t="s">
        <v>55</v>
      </c>
      <c r="G322" s="1">
        <v>4</v>
      </c>
      <c r="H322" s="1" t="s">
        <v>92</v>
      </c>
      <c r="I322" s="1" t="s">
        <v>21</v>
      </c>
      <c r="J322" s="1">
        <v>1</v>
      </c>
      <c r="K322" s="1">
        <v>34.83</v>
      </c>
      <c r="L322" s="1">
        <v>5</v>
      </c>
      <c r="M322" s="16">
        <f t="shared" si="4"/>
        <v>33.088499999999996</v>
      </c>
      <c r="N322" s="1">
        <v>0</v>
      </c>
    </row>
    <row r="323" spans="1:14">
      <c r="A323" s="2">
        <v>45947</v>
      </c>
      <c r="B323" s="1">
        <v>1017</v>
      </c>
      <c r="C323" s="1">
        <v>47</v>
      </c>
      <c r="D323" s="1" t="s">
        <v>56</v>
      </c>
      <c r="E323" s="1" t="s">
        <v>25</v>
      </c>
      <c r="F323" s="1" t="s">
        <v>35</v>
      </c>
      <c r="G323" s="1">
        <v>30</v>
      </c>
      <c r="H323" s="1" t="s">
        <v>57</v>
      </c>
      <c r="I323" s="1" t="s">
        <v>31</v>
      </c>
      <c r="J323" s="1">
        <v>1</v>
      </c>
      <c r="K323" s="1">
        <v>41.49</v>
      </c>
      <c r="L323" s="1">
        <v>0</v>
      </c>
      <c r="M323" s="16">
        <f t="shared" ref="M323:M386" si="5">J323*K323*(1-L323/100)</f>
        <v>41.49</v>
      </c>
      <c r="N323" s="1">
        <v>0</v>
      </c>
    </row>
    <row r="324" spans="1:14">
      <c r="A324" s="2">
        <v>45668</v>
      </c>
      <c r="B324" s="1">
        <v>1064</v>
      </c>
      <c r="C324" s="1">
        <v>47</v>
      </c>
      <c r="D324" s="1" t="s">
        <v>56</v>
      </c>
      <c r="E324" s="1" t="s">
        <v>25</v>
      </c>
      <c r="F324" s="1" t="s">
        <v>35</v>
      </c>
      <c r="G324" s="1">
        <v>11</v>
      </c>
      <c r="H324" s="1" t="s">
        <v>65</v>
      </c>
      <c r="I324" s="1" t="s">
        <v>33</v>
      </c>
      <c r="J324" s="1">
        <v>1</v>
      </c>
      <c r="K324" s="1">
        <v>58.35</v>
      </c>
      <c r="L324" s="1">
        <v>15</v>
      </c>
      <c r="M324" s="16">
        <f t="shared" si="5"/>
        <v>49.597499999999997</v>
      </c>
      <c r="N324" s="1">
        <v>0</v>
      </c>
    </row>
    <row r="325" spans="1:14">
      <c r="A325" s="2">
        <v>45668</v>
      </c>
      <c r="B325" s="1">
        <v>1064</v>
      </c>
      <c r="C325" s="1">
        <v>47</v>
      </c>
      <c r="D325" s="1" t="s">
        <v>56</v>
      </c>
      <c r="E325" s="1" t="s">
        <v>25</v>
      </c>
      <c r="F325" s="1" t="s">
        <v>35</v>
      </c>
      <c r="G325" s="1">
        <v>14</v>
      </c>
      <c r="H325" s="1" t="s">
        <v>105</v>
      </c>
      <c r="I325" s="1" t="s">
        <v>33</v>
      </c>
      <c r="J325" s="1">
        <v>1</v>
      </c>
      <c r="K325" s="1">
        <v>15.36</v>
      </c>
      <c r="L325" s="1">
        <v>10</v>
      </c>
      <c r="M325" s="16">
        <f t="shared" si="5"/>
        <v>13.824</v>
      </c>
      <c r="N325" s="1">
        <v>0</v>
      </c>
    </row>
    <row r="326" spans="1:14">
      <c r="A326" s="2">
        <v>45911</v>
      </c>
      <c r="B326" s="1">
        <v>1097</v>
      </c>
      <c r="C326" s="1">
        <v>47</v>
      </c>
      <c r="D326" s="1" t="s">
        <v>56</v>
      </c>
      <c r="E326" s="1" t="s">
        <v>25</v>
      </c>
      <c r="F326" s="1" t="s">
        <v>35</v>
      </c>
      <c r="G326" s="1">
        <v>18</v>
      </c>
      <c r="H326" s="1" t="s">
        <v>23</v>
      </c>
      <c r="I326" s="1" t="s">
        <v>17</v>
      </c>
      <c r="J326" s="1">
        <v>1</v>
      </c>
      <c r="K326" s="1">
        <v>44.01</v>
      </c>
      <c r="L326" s="1">
        <v>0</v>
      </c>
      <c r="M326" s="16">
        <f t="shared" si="5"/>
        <v>44.01</v>
      </c>
      <c r="N326" s="1">
        <v>0</v>
      </c>
    </row>
    <row r="327" spans="1:14">
      <c r="A327" s="2">
        <v>45974</v>
      </c>
      <c r="B327" s="1">
        <v>1120</v>
      </c>
      <c r="C327" s="1">
        <v>47</v>
      </c>
      <c r="D327" s="1" t="s">
        <v>56</v>
      </c>
      <c r="E327" s="1" t="s">
        <v>25</v>
      </c>
      <c r="F327" s="1" t="s">
        <v>35</v>
      </c>
      <c r="G327" s="1">
        <v>25</v>
      </c>
      <c r="H327" s="1" t="s">
        <v>214</v>
      </c>
      <c r="I327" s="1" t="s">
        <v>37</v>
      </c>
      <c r="J327" s="1">
        <v>2</v>
      </c>
      <c r="K327" s="1">
        <v>17.78</v>
      </c>
      <c r="L327" s="1">
        <v>0</v>
      </c>
      <c r="M327" s="16">
        <f t="shared" si="5"/>
        <v>35.56</v>
      </c>
      <c r="N327" s="1">
        <v>0</v>
      </c>
    </row>
    <row r="328" spans="1:14">
      <c r="A328" s="2">
        <v>45974</v>
      </c>
      <c r="B328" s="1">
        <v>1120</v>
      </c>
      <c r="C328" s="1">
        <v>47</v>
      </c>
      <c r="D328" s="1" t="s">
        <v>56</v>
      </c>
      <c r="E328" s="1" t="s">
        <v>25</v>
      </c>
      <c r="F328" s="1" t="s">
        <v>35</v>
      </c>
      <c r="G328" s="1">
        <v>2</v>
      </c>
      <c r="H328" s="1" t="s">
        <v>80</v>
      </c>
      <c r="I328" s="1" t="s">
        <v>21</v>
      </c>
      <c r="J328" s="1">
        <v>1</v>
      </c>
      <c r="K328" s="1">
        <v>64.02</v>
      </c>
      <c r="L328" s="1">
        <v>5</v>
      </c>
      <c r="M328" s="16">
        <f t="shared" si="5"/>
        <v>60.818999999999996</v>
      </c>
      <c r="N328" s="1">
        <v>0</v>
      </c>
    </row>
    <row r="329" spans="1:14">
      <c r="A329" s="2">
        <v>45987</v>
      </c>
      <c r="B329" s="1">
        <v>1180</v>
      </c>
      <c r="C329" s="1">
        <v>47</v>
      </c>
      <c r="D329" s="1" t="s">
        <v>56</v>
      </c>
      <c r="E329" s="1" t="s">
        <v>25</v>
      </c>
      <c r="F329" s="1" t="s">
        <v>35</v>
      </c>
      <c r="G329" s="1">
        <v>34</v>
      </c>
      <c r="H329" s="1" t="s">
        <v>130</v>
      </c>
      <c r="I329" s="1" t="s">
        <v>31</v>
      </c>
      <c r="J329" s="1">
        <v>1</v>
      </c>
      <c r="K329" s="1">
        <v>58.26</v>
      </c>
      <c r="L329" s="1">
        <v>10</v>
      </c>
      <c r="M329" s="16">
        <f t="shared" si="5"/>
        <v>52.433999999999997</v>
      </c>
      <c r="N329" s="1">
        <v>0</v>
      </c>
    </row>
    <row r="330" spans="1:14">
      <c r="A330" s="2">
        <v>45991</v>
      </c>
      <c r="B330" s="1">
        <v>1201</v>
      </c>
      <c r="C330" s="1">
        <v>47</v>
      </c>
      <c r="D330" s="1" t="s">
        <v>56</v>
      </c>
      <c r="E330" s="1" t="s">
        <v>25</v>
      </c>
      <c r="F330" s="1" t="s">
        <v>35</v>
      </c>
      <c r="G330" s="1">
        <v>40</v>
      </c>
      <c r="H330" s="1" t="s">
        <v>53</v>
      </c>
      <c r="I330" s="1" t="s">
        <v>27</v>
      </c>
      <c r="J330" s="1">
        <v>1</v>
      </c>
      <c r="K330" s="1">
        <v>38.869999999999997</v>
      </c>
      <c r="L330" s="1">
        <v>0</v>
      </c>
      <c r="M330" s="16">
        <f t="shared" si="5"/>
        <v>38.869999999999997</v>
      </c>
      <c r="N330" s="1">
        <v>1</v>
      </c>
    </row>
    <row r="331" spans="1:14">
      <c r="A331" s="2">
        <v>45669</v>
      </c>
      <c r="B331" s="1">
        <v>1207</v>
      </c>
      <c r="C331" s="1">
        <v>47</v>
      </c>
      <c r="D331" s="1" t="s">
        <v>56</v>
      </c>
      <c r="E331" s="1" t="s">
        <v>25</v>
      </c>
      <c r="F331" s="1" t="s">
        <v>35</v>
      </c>
      <c r="G331" s="1">
        <v>18</v>
      </c>
      <c r="H331" s="1" t="s">
        <v>23</v>
      </c>
      <c r="I331" s="1" t="s">
        <v>17</v>
      </c>
      <c r="J331" s="1">
        <v>1</v>
      </c>
      <c r="K331" s="1">
        <v>44.01</v>
      </c>
      <c r="L331" s="1">
        <v>0</v>
      </c>
      <c r="M331" s="16">
        <f t="shared" si="5"/>
        <v>44.01</v>
      </c>
      <c r="N331" s="1">
        <v>0</v>
      </c>
    </row>
    <row r="332" spans="1:14">
      <c r="A332" s="2">
        <v>45942</v>
      </c>
      <c r="B332" s="1">
        <v>1248</v>
      </c>
      <c r="C332" s="1">
        <v>47</v>
      </c>
      <c r="D332" s="1" t="s">
        <v>56</v>
      </c>
      <c r="E332" s="1" t="s">
        <v>25</v>
      </c>
      <c r="F332" s="1" t="s">
        <v>35</v>
      </c>
      <c r="G332" s="1">
        <v>30</v>
      </c>
      <c r="H332" s="1" t="s">
        <v>57</v>
      </c>
      <c r="I332" s="1" t="s">
        <v>31</v>
      </c>
      <c r="J332" s="1">
        <v>1</v>
      </c>
      <c r="K332" s="1">
        <v>41.49</v>
      </c>
      <c r="L332" s="1">
        <v>10</v>
      </c>
      <c r="M332" s="16">
        <f t="shared" si="5"/>
        <v>37.341000000000001</v>
      </c>
      <c r="N332" s="1">
        <v>0</v>
      </c>
    </row>
    <row r="333" spans="1:14">
      <c r="A333" s="2">
        <v>45942</v>
      </c>
      <c r="B333" s="1">
        <v>1248</v>
      </c>
      <c r="C333" s="1">
        <v>47</v>
      </c>
      <c r="D333" s="1" t="s">
        <v>56</v>
      </c>
      <c r="E333" s="1" t="s">
        <v>25</v>
      </c>
      <c r="F333" s="1" t="s">
        <v>35</v>
      </c>
      <c r="G333" s="1">
        <v>35</v>
      </c>
      <c r="H333" s="1" t="s">
        <v>104</v>
      </c>
      <c r="I333" s="1" t="s">
        <v>27</v>
      </c>
      <c r="J333" s="1">
        <v>2</v>
      </c>
      <c r="K333" s="1">
        <v>11.3</v>
      </c>
      <c r="L333" s="1">
        <v>0</v>
      </c>
      <c r="M333" s="16">
        <f t="shared" si="5"/>
        <v>22.6</v>
      </c>
      <c r="N333" s="1">
        <v>0</v>
      </c>
    </row>
    <row r="334" spans="1:14">
      <c r="A334" s="2">
        <v>46008</v>
      </c>
      <c r="B334" s="1">
        <v>1288</v>
      </c>
      <c r="C334" s="1">
        <v>47</v>
      </c>
      <c r="D334" s="1" t="s">
        <v>56</v>
      </c>
      <c r="E334" s="1" t="s">
        <v>25</v>
      </c>
      <c r="F334" s="1" t="s">
        <v>35</v>
      </c>
      <c r="G334" s="1">
        <f>_xlfn.XLOOKUP(H334,'Product Data'!$B$2:$B$100,'Product Data'!$A$2:$A$100,"Not Found")</f>
        <v>37</v>
      </c>
      <c r="H334" s="1" t="s">
        <v>26</v>
      </c>
      <c r="I334" s="1" t="s">
        <v>27</v>
      </c>
      <c r="J334" s="1">
        <v>1</v>
      </c>
      <c r="K334" s="1">
        <v>52.67</v>
      </c>
      <c r="L334" s="1">
        <v>5</v>
      </c>
      <c r="M334" s="16">
        <f t="shared" si="5"/>
        <v>50.036499999999997</v>
      </c>
      <c r="N334" s="1">
        <v>0</v>
      </c>
    </row>
    <row r="335" spans="1:14">
      <c r="A335" s="2">
        <v>46008</v>
      </c>
      <c r="B335" s="1">
        <v>1288</v>
      </c>
      <c r="C335" s="1">
        <v>47</v>
      </c>
      <c r="D335" s="1" t="s">
        <v>56</v>
      </c>
      <c r="E335" s="1" t="s">
        <v>25</v>
      </c>
      <c r="F335" s="1" t="s">
        <v>35</v>
      </c>
      <c r="G335" s="1">
        <v>2</v>
      </c>
      <c r="H335" s="1" t="s">
        <v>80</v>
      </c>
      <c r="I335" s="1" t="s">
        <v>21</v>
      </c>
      <c r="J335" s="1">
        <v>2</v>
      </c>
      <c r="K335" s="1">
        <v>64.02</v>
      </c>
      <c r="L335" s="1">
        <v>0</v>
      </c>
      <c r="M335" s="16">
        <f t="shared" si="5"/>
        <v>128.04</v>
      </c>
      <c r="N335" s="1">
        <v>0</v>
      </c>
    </row>
    <row r="336" spans="1:14">
      <c r="A336" s="2">
        <v>46011</v>
      </c>
      <c r="B336" s="1">
        <v>1303</v>
      </c>
      <c r="C336" s="1">
        <v>47</v>
      </c>
      <c r="D336" s="1" t="s">
        <v>56</v>
      </c>
      <c r="E336" s="1" t="s">
        <v>25</v>
      </c>
      <c r="F336" s="1" t="s">
        <v>35</v>
      </c>
      <c r="G336" s="1">
        <v>31</v>
      </c>
      <c r="H336" s="1" t="s">
        <v>30</v>
      </c>
      <c r="I336" s="1" t="s">
        <v>31</v>
      </c>
      <c r="J336" s="1">
        <v>1</v>
      </c>
      <c r="K336" s="1">
        <v>57.51</v>
      </c>
      <c r="L336" s="1">
        <v>10</v>
      </c>
      <c r="M336" s="16">
        <f t="shared" si="5"/>
        <v>51.759</v>
      </c>
      <c r="N336" s="1">
        <v>0</v>
      </c>
    </row>
    <row r="337" spans="1:14">
      <c r="A337" s="2">
        <v>46011</v>
      </c>
      <c r="B337" s="1">
        <v>1303</v>
      </c>
      <c r="C337" s="1">
        <v>47</v>
      </c>
      <c r="D337" s="1" t="s">
        <v>56</v>
      </c>
      <c r="E337" s="1" t="s">
        <v>25</v>
      </c>
      <c r="F337" s="1" t="s">
        <v>35</v>
      </c>
      <c r="G337" s="1">
        <v>8</v>
      </c>
      <c r="H337" s="1" t="s">
        <v>84</v>
      </c>
      <c r="I337" s="1" t="s">
        <v>21</v>
      </c>
      <c r="J337" s="1">
        <v>1</v>
      </c>
      <c r="K337" s="1">
        <v>16.72</v>
      </c>
      <c r="L337" s="1">
        <v>0</v>
      </c>
      <c r="M337" s="16">
        <f t="shared" si="5"/>
        <v>16.72</v>
      </c>
      <c r="N337" s="1">
        <v>1</v>
      </c>
    </row>
    <row r="338" spans="1:14">
      <c r="A338" s="2">
        <v>46015</v>
      </c>
      <c r="B338" s="1">
        <v>1319</v>
      </c>
      <c r="C338" s="1">
        <v>47</v>
      </c>
      <c r="D338" s="1" t="s">
        <v>56</v>
      </c>
      <c r="E338" s="1" t="s">
        <v>25</v>
      </c>
      <c r="F338" s="1" t="s">
        <v>35</v>
      </c>
      <c r="G338" s="1">
        <v>39</v>
      </c>
      <c r="H338" s="1" t="s">
        <v>36</v>
      </c>
      <c r="I338" s="1" t="s">
        <v>27</v>
      </c>
      <c r="J338" s="1">
        <v>2</v>
      </c>
      <c r="K338" s="1">
        <v>39.979999999999997</v>
      </c>
      <c r="L338" s="1">
        <v>10</v>
      </c>
      <c r="M338" s="16">
        <f t="shared" si="5"/>
        <v>71.963999999999999</v>
      </c>
      <c r="N338" s="1">
        <v>0</v>
      </c>
    </row>
    <row r="339" spans="1:14">
      <c r="A339" s="2">
        <v>46017</v>
      </c>
      <c r="B339" s="1">
        <v>1330</v>
      </c>
      <c r="C339" s="1">
        <v>47</v>
      </c>
      <c r="D339" s="1" t="s">
        <v>56</v>
      </c>
      <c r="E339" s="1" t="s">
        <v>25</v>
      </c>
      <c r="F339" s="1" t="s">
        <v>35</v>
      </c>
      <c r="G339" s="1">
        <v>21</v>
      </c>
      <c r="H339" s="1" t="s">
        <v>97</v>
      </c>
      <c r="I339" s="1" t="s">
        <v>17</v>
      </c>
      <c r="J339" s="1">
        <v>1</v>
      </c>
      <c r="K339" s="1">
        <v>49.37</v>
      </c>
      <c r="L339" s="1">
        <v>5</v>
      </c>
      <c r="M339" s="16">
        <f t="shared" si="5"/>
        <v>46.901499999999999</v>
      </c>
      <c r="N339" s="1">
        <v>0</v>
      </c>
    </row>
    <row r="340" spans="1:14">
      <c r="A340" s="2">
        <v>46019</v>
      </c>
      <c r="B340" s="1">
        <v>1342</v>
      </c>
      <c r="C340" s="1">
        <v>47</v>
      </c>
      <c r="D340" s="1" t="s">
        <v>56</v>
      </c>
      <c r="E340" s="1" t="s">
        <v>25</v>
      </c>
      <c r="F340" s="1" t="s">
        <v>35</v>
      </c>
      <c r="G340" s="1">
        <v>28</v>
      </c>
      <c r="H340" s="1" t="s">
        <v>51</v>
      </c>
      <c r="I340" s="1" t="s">
        <v>37</v>
      </c>
      <c r="J340" s="1">
        <v>1</v>
      </c>
      <c r="K340" s="1">
        <v>21.24</v>
      </c>
      <c r="L340" s="1">
        <v>20</v>
      </c>
      <c r="M340" s="16">
        <f t="shared" si="5"/>
        <v>16.992000000000001</v>
      </c>
      <c r="N340" s="1">
        <v>0</v>
      </c>
    </row>
    <row r="341" spans="1:14">
      <c r="A341" s="2">
        <v>46033</v>
      </c>
      <c r="B341" s="1">
        <v>1391</v>
      </c>
      <c r="C341" s="1">
        <v>47</v>
      </c>
      <c r="D341" s="1" t="s">
        <v>56</v>
      </c>
      <c r="E341" s="1" t="s">
        <v>25</v>
      </c>
      <c r="F341" s="1" t="s">
        <v>35</v>
      </c>
      <c r="G341" s="1">
        <v>2</v>
      </c>
      <c r="H341" s="1" t="s">
        <v>80</v>
      </c>
      <c r="I341" s="1" t="s">
        <v>21</v>
      </c>
      <c r="J341" s="1">
        <v>2</v>
      </c>
      <c r="K341" s="1">
        <v>64.02</v>
      </c>
      <c r="L341" s="1">
        <v>0</v>
      </c>
      <c r="M341" s="16">
        <f t="shared" si="5"/>
        <v>128.04</v>
      </c>
      <c r="N341" s="1">
        <v>0</v>
      </c>
    </row>
    <row r="342" spans="1:14">
      <c r="A342" s="2">
        <v>46327</v>
      </c>
      <c r="B342" s="1">
        <v>1391</v>
      </c>
      <c r="C342" s="1">
        <v>47</v>
      </c>
      <c r="D342" s="1" t="s">
        <v>56</v>
      </c>
      <c r="E342" s="1" t="s">
        <v>25</v>
      </c>
      <c r="F342" s="1" t="s">
        <v>35</v>
      </c>
      <c r="G342" s="1">
        <v>28</v>
      </c>
      <c r="H342" s="1" t="s">
        <v>51</v>
      </c>
      <c r="I342" s="1" t="s">
        <v>37</v>
      </c>
      <c r="J342" s="1">
        <v>1</v>
      </c>
      <c r="K342" s="1">
        <v>21.24</v>
      </c>
      <c r="L342" s="1">
        <v>0</v>
      </c>
      <c r="M342" s="16">
        <f t="shared" si="5"/>
        <v>21.24</v>
      </c>
      <c r="N342" s="1">
        <v>0</v>
      </c>
    </row>
    <row r="343" spans="1:14">
      <c r="A343" s="2">
        <v>46036</v>
      </c>
      <c r="B343" s="1">
        <v>1044</v>
      </c>
      <c r="C343" s="1">
        <v>47</v>
      </c>
      <c r="D343" s="1" t="s">
        <v>56</v>
      </c>
      <c r="E343" s="1" t="s">
        <v>25</v>
      </c>
      <c r="F343" s="1" t="s">
        <v>35</v>
      </c>
      <c r="G343" s="1">
        <v>25</v>
      </c>
      <c r="H343" s="1" t="s">
        <v>214</v>
      </c>
      <c r="I343" s="1" t="s">
        <v>37</v>
      </c>
      <c r="J343" s="1">
        <v>1</v>
      </c>
      <c r="K343" s="1">
        <v>17.78</v>
      </c>
      <c r="L343" s="1">
        <v>10</v>
      </c>
      <c r="M343" s="16">
        <f t="shared" si="5"/>
        <v>16.002000000000002</v>
      </c>
      <c r="N343" s="1">
        <v>0</v>
      </c>
    </row>
    <row r="344" spans="1:14">
      <c r="A344" s="2">
        <v>46036</v>
      </c>
      <c r="B344" s="1">
        <v>1402</v>
      </c>
      <c r="C344" s="1">
        <v>47</v>
      </c>
      <c r="D344" s="1" t="s">
        <v>56</v>
      </c>
      <c r="E344" s="1" t="s">
        <v>25</v>
      </c>
      <c r="F344" s="1" t="s">
        <v>35</v>
      </c>
      <c r="G344" s="1">
        <v>14</v>
      </c>
      <c r="H344" s="1" t="s">
        <v>105</v>
      </c>
      <c r="I344" s="1" t="s">
        <v>33</v>
      </c>
      <c r="J344" s="1">
        <v>1</v>
      </c>
      <c r="K344" s="1">
        <v>15.36</v>
      </c>
      <c r="L344" s="1">
        <v>0</v>
      </c>
      <c r="M344" s="16">
        <f t="shared" si="5"/>
        <v>15.36</v>
      </c>
      <c r="N344" s="1">
        <v>0</v>
      </c>
    </row>
    <row r="345" spans="1:14">
      <c r="A345" s="2">
        <v>46036</v>
      </c>
      <c r="B345" s="1">
        <v>1402</v>
      </c>
      <c r="C345" s="1">
        <v>47</v>
      </c>
      <c r="D345" s="1" t="s">
        <v>56</v>
      </c>
      <c r="E345" s="1" t="s">
        <v>25</v>
      </c>
      <c r="F345" s="1" t="s">
        <v>35</v>
      </c>
      <c r="G345" s="1">
        <v>19</v>
      </c>
      <c r="H345" s="1" t="s">
        <v>64</v>
      </c>
      <c r="I345" s="1" t="s">
        <v>139</v>
      </c>
      <c r="J345" s="1">
        <v>1</v>
      </c>
      <c r="K345" s="1">
        <v>50.14</v>
      </c>
      <c r="L345" s="1">
        <v>5</v>
      </c>
      <c r="M345" s="16">
        <f t="shared" si="5"/>
        <v>47.632999999999996</v>
      </c>
      <c r="N345" s="1">
        <v>1</v>
      </c>
    </row>
    <row r="346" spans="1:14">
      <c r="A346" s="2">
        <v>46036</v>
      </c>
      <c r="B346" s="1">
        <v>1402</v>
      </c>
      <c r="C346" s="1">
        <v>47</v>
      </c>
      <c r="D346" s="1" t="s">
        <v>56</v>
      </c>
      <c r="E346" s="1" t="s">
        <v>25</v>
      </c>
      <c r="F346" s="1" t="s">
        <v>35</v>
      </c>
      <c r="G346" s="1">
        <v>22</v>
      </c>
      <c r="H346" s="1" t="s">
        <v>75</v>
      </c>
      <c r="I346" s="1" t="s">
        <v>17</v>
      </c>
      <c r="J346" s="1">
        <v>2</v>
      </c>
      <c r="K346" s="1">
        <v>29.98</v>
      </c>
      <c r="L346" s="1">
        <v>0</v>
      </c>
      <c r="M346" s="16">
        <f t="shared" si="5"/>
        <v>59.96</v>
      </c>
      <c r="N346" s="1">
        <v>0</v>
      </c>
    </row>
    <row r="347" spans="1:14">
      <c r="A347" s="2">
        <v>46046</v>
      </c>
      <c r="B347" s="1">
        <v>1427</v>
      </c>
      <c r="C347" s="1">
        <v>47</v>
      </c>
      <c r="D347" s="1" t="s">
        <v>56</v>
      </c>
      <c r="E347" s="1" t="s">
        <v>25</v>
      </c>
      <c r="F347" s="1" t="s">
        <v>35</v>
      </c>
      <c r="G347" s="1">
        <v>2</v>
      </c>
      <c r="H347" s="1" t="s">
        <v>80</v>
      </c>
      <c r="I347" s="1" t="s">
        <v>21</v>
      </c>
      <c r="J347" s="1">
        <v>1</v>
      </c>
      <c r="K347" s="1">
        <v>64.02</v>
      </c>
      <c r="L347" s="1">
        <v>0</v>
      </c>
      <c r="M347" s="16">
        <f t="shared" si="5"/>
        <v>64.02</v>
      </c>
      <c r="N347" s="1">
        <v>0</v>
      </c>
    </row>
    <row r="348" spans="1:14">
      <c r="A348" s="2">
        <v>46046</v>
      </c>
      <c r="B348" s="1">
        <v>1427</v>
      </c>
      <c r="C348" s="1">
        <v>47</v>
      </c>
      <c r="D348" s="1" t="s">
        <v>56</v>
      </c>
      <c r="E348" s="1" t="s">
        <v>25</v>
      </c>
      <c r="F348" s="1" t="s">
        <v>35</v>
      </c>
      <c r="G348" s="1">
        <v>23</v>
      </c>
      <c r="H348" s="1" t="s">
        <v>98</v>
      </c>
      <c r="I348" s="1" t="s">
        <v>37</v>
      </c>
      <c r="J348" s="1">
        <v>1</v>
      </c>
      <c r="K348" s="1">
        <v>38.14</v>
      </c>
      <c r="L348" s="1">
        <v>0</v>
      </c>
      <c r="M348" s="16">
        <f t="shared" si="5"/>
        <v>38.14</v>
      </c>
      <c r="N348" s="1">
        <v>0</v>
      </c>
    </row>
    <row r="349" spans="1:14">
      <c r="A349" s="2">
        <v>46046</v>
      </c>
      <c r="B349" s="1">
        <v>1427</v>
      </c>
      <c r="C349" s="1">
        <v>47</v>
      </c>
      <c r="D349" s="1" t="s">
        <v>56</v>
      </c>
      <c r="E349" s="1" t="s">
        <v>25</v>
      </c>
      <c r="F349" s="1" t="s">
        <v>35</v>
      </c>
      <c r="G349" s="1">
        <v>20</v>
      </c>
      <c r="H349" s="1" t="s">
        <v>16</v>
      </c>
      <c r="I349" s="1" t="s">
        <v>17</v>
      </c>
      <c r="J349" s="1">
        <v>1</v>
      </c>
      <c r="K349" s="1">
        <v>32.76</v>
      </c>
      <c r="L349" s="1">
        <v>0</v>
      </c>
      <c r="M349" s="16">
        <f t="shared" si="5"/>
        <v>32.76</v>
      </c>
      <c r="N349" s="1">
        <v>1</v>
      </c>
    </row>
    <row r="350" spans="1:14">
      <c r="A350" s="2">
        <v>46046</v>
      </c>
      <c r="B350" s="1">
        <v>1427</v>
      </c>
      <c r="C350" s="1">
        <v>47</v>
      </c>
      <c r="D350" s="1" t="s">
        <v>56</v>
      </c>
      <c r="E350" s="1" t="s">
        <v>25</v>
      </c>
      <c r="F350" s="1" t="s">
        <v>35</v>
      </c>
      <c r="G350" s="1">
        <v>38</v>
      </c>
      <c r="H350" s="1" t="s">
        <v>70</v>
      </c>
      <c r="I350" s="1" t="s">
        <v>27</v>
      </c>
      <c r="J350" s="1">
        <v>1</v>
      </c>
      <c r="K350" s="1">
        <v>25.14</v>
      </c>
      <c r="L350" s="1">
        <v>10</v>
      </c>
      <c r="M350" s="16">
        <f t="shared" si="5"/>
        <v>22.626000000000001</v>
      </c>
      <c r="N350" s="1">
        <v>0</v>
      </c>
    </row>
    <row r="351" spans="1:14">
      <c r="A351" s="2">
        <v>46114</v>
      </c>
      <c r="B351" s="1">
        <v>1450</v>
      </c>
      <c r="C351" s="1">
        <v>47</v>
      </c>
      <c r="D351" s="1" t="s">
        <v>56</v>
      </c>
      <c r="E351" s="1" t="s">
        <v>25</v>
      </c>
      <c r="F351" s="1" t="s">
        <v>35</v>
      </c>
      <c r="G351" s="1">
        <v>39</v>
      </c>
      <c r="H351" s="1" t="s">
        <v>36</v>
      </c>
      <c r="I351" s="1" t="s">
        <v>27</v>
      </c>
      <c r="J351" s="1">
        <v>1</v>
      </c>
      <c r="K351" s="1">
        <v>39.979999999999997</v>
      </c>
      <c r="L351" s="1">
        <v>0</v>
      </c>
      <c r="M351" s="16">
        <f t="shared" si="5"/>
        <v>39.979999999999997</v>
      </c>
      <c r="N351" s="1">
        <v>0</v>
      </c>
    </row>
    <row r="352" spans="1:14">
      <c r="A352" s="2">
        <v>46144</v>
      </c>
      <c r="B352" s="1">
        <v>1456</v>
      </c>
      <c r="C352" s="1">
        <v>47</v>
      </c>
      <c r="D352" s="1" t="s">
        <v>56</v>
      </c>
      <c r="E352" s="1" t="s">
        <v>25</v>
      </c>
      <c r="F352" s="1" t="s">
        <v>35</v>
      </c>
      <c r="G352" s="1">
        <v>24</v>
      </c>
      <c r="H352" s="1" t="s">
        <v>44</v>
      </c>
      <c r="I352" s="1" t="s">
        <v>37</v>
      </c>
      <c r="J352" s="1">
        <v>1</v>
      </c>
      <c r="K352" s="1">
        <v>43.42</v>
      </c>
      <c r="L352" s="1">
        <v>0</v>
      </c>
      <c r="M352" s="16">
        <f t="shared" si="5"/>
        <v>43.42</v>
      </c>
      <c r="N352" s="1">
        <v>0</v>
      </c>
    </row>
    <row r="353" spans="1:14">
      <c r="A353" s="2">
        <v>46016</v>
      </c>
      <c r="B353" s="1">
        <v>1456</v>
      </c>
      <c r="C353" s="1">
        <v>47</v>
      </c>
      <c r="D353" s="1" t="s">
        <v>56</v>
      </c>
      <c r="E353" s="1" t="s">
        <v>25</v>
      </c>
      <c r="F353" s="1" t="s">
        <v>35</v>
      </c>
      <c r="G353" s="1">
        <v>26</v>
      </c>
      <c r="H353" s="1" t="s">
        <v>83</v>
      </c>
      <c r="I353" s="1" t="s">
        <v>37</v>
      </c>
      <c r="J353" s="1">
        <v>1</v>
      </c>
      <c r="K353" s="1">
        <v>31.76</v>
      </c>
      <c r="L353" s="1">
        <v>10</v>
      </c>
      <c r="M353" s="16">
        <f t="shared" si="5"/>
        <v>28.584000000000003</v>
      </c>
      <c r="N353" s="1">
        <v>0</v>
      </c>
    </row>
    <row r="354" spans="1:14">
      <c r="A354" s="2">
        <v>46144</v>
      </c>
      <c r="B354" s="1">
        <v>1456</v>
      </c>
      <c r="C354" s="1">
        <v>47</v>
      </c>
      <c r="D354" s="1" t="s">
        <v>56</v>
      </c>
      <c r="E354" s="1" t="s">
        <v>25</v>
      </c>
      <c r="F354" s="1" t="s">
        <v>35</v>
      </c>
      <c r="G354" s="1">
        <v>15</v>
      </c>
      <c r="H354" s="1" t="s">
        <v>48</v>
      </c>
      <c r="I354" s="1" t="s">
        <v>33</v>
      </c>
      <c r="J354" s="1">
        <v>1</v>
      </c>
      <c r="K354" s="1">
        <v>47.71</v>
      </c>
      <c r="L354" s="1">
        <v>0</v>
      </c>
      <c r="M354" s="16">
        <f t="shared" si="5"/>
        <v>47.71</v>
      </c>
      <c r="N354" s="1">
        <v>0</v>
      </c>
    </row>
    <row r="355" spans="1:14">
      <c r="A355" s="2">
        <v>46144</v>
      </c>
      <c r="B355" s="1">
        <v>1456</v>
      </c>
      <c r="C355" s="1">
        <v>47</v>
      </c>
      <c r="D355" s="1" t="s">
        <v>56</v>
      </c>
      <c r="E355" s="1" t="s">
        <v>25</v>
      </c>
      <c r="F355" s="1" t="s">
        <v>35</v>
      </c>
      <c r="G355" s="1">
        <v>27</v>
      </c>
      <c r="H355" s="1" t="s">
        <v>89</v>
      </c>
      <c r="I355" s="1" t="s">
        <v>37</v>
      </c>
      <c r="J355" s="1">
        <v>2</v>
      </c>
      <c r="K355" s="1">
        <v>27.3</v>
      </c>
      <c r="L355" s="1">
        <v>10</v>
      </c>
      <c r="M355" s="16">
        <f t="shared" si="5"/>
        <v>49.14</v>
      </c>
      <c r="N355" s="1">
        <v>0</v>
      </c>
    </row>
    <row r="356" spans="1:14">
      <c r="A356" s="2">
        <v>46175</v>
      </c>
      <c r="B356" s="1">
        <v>1459</v>
      </c>
      <c r="C356" s="1">
        <v>47</v>
      </c>
      <c r="D356" s="1" t="s">
        <v>56</v>
      </c>
      <c r="E356" s="1" t="s">
        <v>25</v>
      </c>
      <c r="F356" s="1" t="s">
        <v>35</v>
      </c>
      <c r="G356" s="1">
        <v>16</v>
      </c>
      <c r="H356" s="1" t="s">
        <v>77</v>
      </c>
      <c r="I356" s="1" t="s">
        <v>17</v>
      </c>
      <c r="J356" s="1">
        <v>1</v>
      </c>
      <c r="K356" s="1">
        <v>11.81</v>
      </c>
      <c r="L356" s="1">
        <v>0</v>
      </c>
      <c r="M356" s="16">
        <f t="shared" si="5"/>
        <v>11.81</v>
      </c>
      <c r="N356" s="1">
        <v>0</v>
      </c>
    </row>
    <row r="357" spans="1:14">
      <c r="A357" s="2">
        <v>46175</v>
      </c>
      <c r="B357" s="1">
        <v>1459</v>
      </c>
      <c r="C357" s="1">
        <v>47</v>
      </c>
      <c r="D357" s="1" t="s">
        <v>56</v>
      </c>
      <c r="E357" s="1" t="s">
        <v>25</v>
      </c>
      <c r="F357" s="1" t="s">
        <v>35</v>
      </c>
      <c r="G357" s="1">
        <v>14</v>
      </c>
      <c r="H357" s="1" t="s">
        <v>105</v>
      </c>
      <c r="I357" s="1" t="s">
        <v>33</v>
      </c>
      <c r="J357" s="1">
        <v>1</v>
      </c>
      <c r="K357" s="1">
        <v>15.36</v>
      </c>
      <c r="L357" s="1">
        <v>0</v>
      </c>
      <c r="M357" s="16">
        <f t="shared" si="5"/>
        <v>15.36</v>
      </c>
      <c r="N357" s="1">
        <v>0</v>
      </c>
    </row>
    <row r="358" spans="1:14">
      <c r="A358" s="2">
        <v>46175</v>
      </c>
      <c r="B358" s="1">
        <v>1459</v>
      </c>
      <c r="C358" s="1">
        <v>47</v>
      </c>
      <c r="D358" s="1" t="s">
        <v>56</v>
      </c>
      <c r="E358" s="1" t="s">
        <v>25</v>
      </c>
      <c r="F358" s="1" t="s">
        <v>35</v>
      </c>
      <c r="G358" s="1">
        <v>39</v>
      </c>
      <c r="H358" s="1" t="s">
        <v>36</v>
      </c>
      <c r="I358" s="1" t="s">
        <v>27</v>
      </c>
      <c r="J358" s="1">
        <v>1</v>
      </c>
      <c r="K358" s="1">
        <v>39.979999999999997</v>
      </c>
      <c r="L358" s="1">
        <v>0</v>
      </c>
      <c r="M358" s="16">
        <f t="shared" si="5"/>
        <v>39.979999999999997</v>
      </c>
      <c r="N358" s="1">
        <v>1</v>
      </c>
    </row>
    <row r="359" spans="1:14">
      <c r="A359" s="2">
        <v>46297</v>
      </c>
      <c r="B359" s="1">
        <v>1469</v>
      </c>
      <c r="C359" s="1">
        <v>47</v>
      </c>
      <c r="D359" s="1" t="s">
        <v>56</v>
      </c>
      <c r="E359" s="1" t="s">
        <v>25</v>
      </c>
      <c r="F359" s="1" t="s">
        <v>35</v>
      </c>
      <c r="G359" s="1">
        <v>12</v>
      </c>
      <c r="H359" s="1" t="s">
        <v>215</v>
      </c>
      <c r="I359" s="1" t="s">
        <v>33</v>
      </c>
      <c r="J359" s="1">
        <v>1</v>
      </c>
      <c r="K359" s="1">
        <v>8.4499999999999993</v>
      </c>
      <c r="L359" s="1">
        <v>0</v>
      </c>
      <c r="M359" s="16">
        <f t="shared" si="5"/>
        <v>8.4499999999999993</v>
      </c>
      <c r="N359" s="1">
        <v>0</v>
      </c>
    </row>
    <row r="360" spans="1:14">
      <c r="A360" s="2">
        <v>46297</v>
      </c>
      <c r="B360" s="1">
        <v>1469</v>
      </c>
      <c r="C360" s="1">
        <v>47</v>
      </c>
      <c r="D360" s="1" t="s">
        <v>56</v>
      </c>
      <c r="E360" s="1" t="s">
        <v>25</v>
      </c>
      <c r="F360" s="1" t="s">
        <v>35</v>
      </c>
      <c r="G360" s="1">
        <v>22</v>
      </c>
      <c r="H360" s="1" t="s">
        <v>75</v>
      </c>
      <c r="I360" s="1" t="s">
        <v>17</v>
      </c>
      <c r="J360" s="1">
        <v>2</v>
      </c>
      <c r="K360" s="1">
        <v>29.98</v>
      </c>
      <c r="L360" s="1">
        <v>5</v>
      </c>
      <c r="M360" s="16">
        <f t="shared" si="5"/>
        <v>56.961999999999996</v>
      </c>
      <c r="N360" s="1">
        <v>0</v>
      </c>
    </row>
    <row r="361" spans="1:14">
      <c r="A361" s="2">
        <v>46297</v>
      </c>
      <c r="B361" s="1">
        <v>1469</v>
      </c>
      <c r="C361" s="1">
        <v>47</v>
      </c>
      <c r="D361" s="1" t="s">
        <v>56</v>
      </c>
      <c r="E361" s="1" t="s">
        <v>25</v>
      </c>
      <c r="F361" s="1" t="s">
        <v>35</v>
      </c>
      <c r="G361" s="1">
        <v>30</v>
      </c>
      <c r="H361" s="1" t="s">
        <v>57</v>
      </c>
      <c r="I361" s="1" t="s">
        <v>31</v>
      </c>
      <c r="J361" s="1">
        <v>3</v>
      </c>
      <c r="K361" s="1">
        <v>41.49</v>
      </c>
      <c r="L361" s="1">
        <v>0</v>
      </c>
      <c r="M361" s="16">
        <f t="shared" si="5"/>
        <v>124.47</v>
      </c>
      <c r="N361" s="1">
        <v>0</v>
      </c>
    </row>
    <row r="362" spans="1:14">
      <c r="A362" s="2">
        <v>46066</v>
      </c>
      <c r="B362" s="1">
        <v>1482</v>
      </c>
      <c r="C362" s="1">
        <v>47</v>
      </c>
      <c r="D362" s="1" t="s">
        <v>56</v>
      </c>
      <c r="E362" s="1" t="s">
        <v>25</v>
      </c>
      <c r="F362" s="1" t="s">
        <v>35</v>
      </c>
      <c r="G362" s="1">
        <v>8</v>
      </c>
      <c r="H362" s="1" t="s">
        <v>84</v>
      </c>
      <c r="I362" s="1" t="s">
        <v>21</v>
      </c>
      <c r="J362" s="1">
        <v>3</v>
      </c>
      <c r="K362" s="1">
        <v>16.72</v>
      </c>
      <c r="L362" s="1">
        <v>0</v>
      </c>
      <c r="M362" s="16">
        <f t="shared" si="5"/>
        <v>50.16</v>
      </c>
      <c r="N362" s="1">
        <v>0</v>
      </c>
    </row>
    <row r="363" spans="1:14">
      <c r="A363" s="2">
        <v>46075</v>
      </c>
      <c r="B363" s="1">
        <v>1520</v>
      </c>
      <c r="C363" s="1">
        <v>47</v>
      </c>
      <c r="D363" s="1" t="s">
        <v>56</v>
      </c>
      <c r="E363" s="1" t="s">
        <v>25</v>
      </c>
      <c r="F363" s="1" t="s">
        <v>35</v>
      </c>
      <c r="G363" s="1">
        <v>3</v>
      </c>
      <c r="H363" s="1" t="s">
        <v>59</v>
      </c>
      <c r="I363" s="1" t="s">
        <v>21</v>
      </c>
      <c r="J363" s="1">
        <v>1</v>
      </c>
      <c r="K363" s="1">
        <v>25.47</v>
      </c>
      <c r="L363" s="1">
        <v>0</v>
      </c>
      <c r="M363" s="16">
        <f t="shared" si="5"/>
        <v>25.47</v>
      </c>
      <c r="N363" s="1">
        <v>0</v>
      </c>
    </row>
    <row r="364" spans="1:14">
      <c r="A364" s="2">
        <v>46075</v>
      </c>
      <c r="B364" s="1">
        <v>1520</v>
      </c>
      <c r="C364" s="1">
        <v>47</v>
      </c>
      <c r="D364" s="1" t="s">
        <v>56</v>
      </c>
      <c r="E364" s="1" t="s">
        <v>25</v>
      </c>
      <c r="F364" s="1" t="s">
        <v>35</v>
      </c>
      <c r="G364" s="1">
        <v>34</v>
      </c>
      <c r="H364" s="1" t="s">
        <v>130</v>
      </c>
      <c r="I364" s="1" t="s">
        <v>31</v>
      </c>
      <c r="J364" s="1">
        <v>1</v>
      </c>
      <c r="K364" s="1">
        <v>58.26</v>
      </c>
      <c r="L364" s="1">
        <v>5</v>
      </c>
      <c r="M364" s="16">
        <f t="shared" si="5"/>
        <v>55.346999999999994</v>
      </c>
      <c r="N364" s="1">
        <v>0</v>
      </c>
    </row>
    <row r="365" spans="1:14">
      <c r="A365" s="2">
        <v>46081</v>
      </c>
      <c r="B365" s="1">
        <v>1543</v>
      </c>
      <c r="C365" s="1">
        <v>47</v>
      </c>
      <c r="D365" s="1" t="s">
        <v>56</v>
      </c>
      <c r="E365" s="1" t="s">
        <v>25</v>
      </c>
      <c r="F365" s="1" t="s">
        <v>35</v>
      </c>
      <c r="G365" s="1">
        <v>29</v>
      </c>
      <c r="H365" s="1" t="s">
        <v>96</v>
      </c>
      <c r="I365" s="1" t="s">
        <v>31</v>
      </c>
      <c r="J365" s="1">
        <v>2</v>
      </c>
      <c r="K365" s="1">
        <v>45.67</v>
      </c>
      <c r="L365" s="1">
        <v>5</v>
      </c>
      <c r="M365" s="16">
        <f t="shared" si="5"/>
        <v>86.772999999999996</v>
      </c>
      <c r="N365" s="1">
        <v>0</v>
      </c>
    </row>
    <row r="366" spans="1:14">
      <c r="A366" s="2">
        <v>46081</v>
      </c>
      <c r="B366" s="1">
        <v>1543</v>
      </c>
      <c r="C366" s="1">
        <v>47</v>
      </c>
      <c r="D366" s="1" t="s">
        <v>56</v>
      </c>
      <c r="E366" s="1" t="s">
        <v>25</v>
      </c>
      <c r="F366" s="1" t="s">
        <v>35</v>
      </c>
      <c r="G366" s="1">
        <v>10</v>
      </c>
      <c r="H366" s="1" t="s">
        <v>32</v>
      </c>
      <c r="I366" s="1" t="s">
        <v>33</v>
      </c>
      <c r="J366" s="1">
        <v>1</v>
      </c>
      <c r="K366" s="1">
        <v>38.869999999999997</v>
      </c>
      <c r="L366" s="1">
        <v>0</v>
      </c>
      <c r="M366" s="16">
        <f t="shared" si="5"/>
        <v>38.869999999999997</v>
      </c>
      <c r="N366" s="1">
        <v>0</v>
      </c>
    </row>
    <row r="367" spans="1:14">
      <c r="A367" s="2">
        <v>45987</v>
      </c>
      <c r="B367" s="1">
        <v>1180</v>
      </c>
      <c r="C367" s="1">
        <f>_xlfn.XLOOKUP(D367,'Customer Data'!B:B,'Customer Data'!A:A,"Not Found")</f>
        <v>47</v>
      </c>
      <c r="D367" s="1" t="s">
        <v>56</v>
      </c>
      <c r="E367" s="1" t="s">
        <v>25</v>
      </c>
      <c r="F367" s="1" t="s">
        <v>35</v>
      </c>
      <c r="G367" s="1">
        <v>19</v>
      </c>
      <c r="H367" s="1" t="s">
        <v>64</v>
      </c>
      <c r="I367" s="1" t="s">
        <v>17</v>
      </c>
      <c r="J367" s="1">
        <v>1</v>
      </c>
      <c r="K367" s="1">
        <v>50.14</v>
      </c>
      <c r="L367" s="1">
        <v>10</v>
      </c>
      <c r="M367" s="16">
        <f t="shared" si="5"/>
        <v>45.126000000000005</v>
      </c>
      <c r="N367" s="1">
        <v>0</v>
      </c>
    </row>
    <row r="368" spans="1:14">
      <c r="A368" s="2">
        <v>45668</v>
      </c>
      <c r="B368" s="1">
        <v>1065</v>
      </c>
      <c r="C368" s="1">
        <v>48</v>
      </c>
      <c r="D368" s="1" t="s">
        <v>111</v>
      </c>
      <c r="E368" s="1" t="s">
        <v>29</v>
      </c>
      <c r="F368" s="1" t="s">
        <v>35</v>
      </c>
      <c r="G368" s="1">
        <v>20</v>
      </c>
      <c r="H368" s="1" t="s">
        <v>16</v>
      </c>
      <c r="I368" s="1" t="s">
        <v>17</v>
      </c>
      <c r="J368" s="1">
        <v>1</v>
      </c>
      <c r="K368" s="1">
        <v>32.76</v>
      </c>
      <c r="L368" s="1">
        <v>0</v>
      </c>
      <c r="M368" s="16">
        <f t="shared" si="5"/>
        <v>32.76</v>
      </c>
      <c r="N368" s="1">
        <v>0</v>
      </c>
    </row>
    <row r="369" spans="1:14">
      <c r="A369" s="2">
        <v>45668</v>
      </c>
      <c r="B369" s="1">
        <v>1065</v>
      </c>
      <c r="C369" s="1">
        <v>48</v>
      </c>
      <c r="D369" s="1" t="s">
        <v>111</v>
      </c>
      <c r="E369" s="1" t="s">
        <v>29</v>
      </c>
      <c r="F369" s="1" t="s">
        <v>41</v>
      </c>
      <c r="G369" s="1">
        <v>11</v>
      </c>
      <c r="H369" s="1" t="s">
        <v>65</v>
      </c>
      <c r="I369" s="1" t="s">
        <v>33</v>
      </c>
      <c r="J369" s="1">
        <v>1</v>
      </c>
      <c r="K369" s="1">
        <v>58.35</v>
      </c>
      <c r="L369" s="1">
        <v>0</v>
      </c>
      <c r="M369" s="16">
        <f t="shared" si="5"/>
        <v>58.35</v>
      </c>
      <c r="N369" s="1">
        <v>1</v>
      </c>
    </row>
    <row r="370" spans="1:14">
      <c r="A370" s="2">
        <v>45972</v>
      </c>
      <c r="B370" s="1">
        <v>1111</v>
      </c>
      <c r="C370" s="1">
        <v>48</v>
      </c>
      <c r="D370" s="1" t="s">
        <v>111</v>
      </c>
      <c r="E370" s="1" t="s">
        <v>29</v>
      </c>
      <c r="F370" s="1" t="s">
        <v>41</v>
      </c>
      <c r="G370" s="1">
        <v>28</v>
      </c>
      <c r="H370" s="1" t="str">
        <f>IF(I370="Apparel","Joggers",IF(I370="Beauty","Vitamin C Serum",IF(I370="Electronics","Wireless Earbuds",IF(I370="Home","LED Lamp",IF(I370="Sports","Water Bottle",IF(I370="Toys","RC Car",""))))))</f>
        <v>Vitamin C Serum</v>
      </c>
      <c r="I370" s="1" t="s">
        <v>37</v>
      </c>
      <c r="J370" s="1">
        <v>2</v>
      </c>
      <c r="K370" s="1">
        <v>21.24</v>
      </c>
      <c r="L370" s="1">
        <v>0</v>
      </c>
      <c r="M370" s="16">
        <f t="shared" si="5"/>
        <v>42.48</v>
      </c>
      <c r="N370" s="1">
        <v>0</v>
      </c>
    </row>
    <row r="371" spans="1:14">
      <c r="A371" s="2">
        <v>45980</v>
      </c>
      <c r="B371" s="1">
        <v>1151</v>
      </c>
      <c r="C371" s="1">
        <v>48</v>
      </c>
      <c r="D371" s="1" t="s">
        <v>111</v>
      </c>
      <c r="E371" s="1" t="s">
        <v>29</v>
      </c>
      <c r="F371" s="1" t="s">
        <v>41</v>
      </c>
      <c r="G371" s="1">
        <v>2</v>
      </c>
      <c r="H371" s="1" t="s">
        <v>80</v>
      </c>
      <c r="I371" s="1" t="s">
        <v>21</v>
      </c>
      <c r="J371" s="1">
        <v>1</v>
      </c>
      <c r="K371" s="1">
        <v>64.02</v>
      </c>
      <c r="L371" s="1">
        <v>25</v>
      </c>
      <c r="M371" s="16">
        <f t="shared" si="5"/>
        <v>48.015000000000001</v>
      </c>
      <c r="N371" s="1">
        <v>0</v>
      </c>
    </row>
    <row r="372" spans="1:14">
      <c r="A372" s="2">
        <v>45980</v>
      </c>
      <c r="B372" s="1">
        <v>1151</v>
      </c>
      <c r="C372" s="1">
        <v>48</v>
      </c>
      <c r="D372" s="1" t="s">
        <v>111</v>
      </c>
      <c r="E372" s="1" t="s">
        <v>29</v>
      </c>
      <c r="F372" s="1" t="s">
        <v>41</v>
      </c>
      <c r="G372" s="1">
        <v>13</v>
      </c>
      <c r="H372" s="1" t="s">
        <v>45</v>
      </c>
      <c r="I372" s="1" t="s">
        <v>33</v>
      </c>
      <c r="J372" s="1">
        <v>1</v>
      </c>
      <c r="K372" s="1">
        <v>54.9</v>
      </c>
      <c r="L372" s="1">
        <v>25</v>
      </c>
      <c r="M372" s="16">
        <f t="shared" si="5"/>
        <v>41.174999999999997</v>
      </c>
      <c r="N372" s="1">
        <v>0</v>
      </c>
    </row>
    <row r="373" spans="1:14">
      <c r="A373" s="2">
        <v>45980</v>
      </c>
      <c r="B373" s="1">
        <v>1151</v>
      </c>
      <c r="C373" s="1">
        <v>48</v>
      </c>
      <c r="D373" s="1" t="s">
        <v>111</v>
      </c>
      <c r="E373" s="1" t="s">
        <v>29</v>
      </c>
      <c r="F373" s="1" t="s">
        <v>41</v>
      </c>
      <c r="G373" s="1">
        <v>40</v>
      </c>
      <c r="H373" s="1" t="s">
        <v>53</v>
      </c>
      <c r="I373" s="1" t="s">
        <v>27</v>
      </c>
      <c r="J373" s="1">
        <v>2</v>
      </c>
      <c r="K373" s="1">
        <v>47.25</v>
      </c>
      <c r="L373" s="1">
        <v>10</v>
      </c>
      <c r="M373" s="16">
        <f t="shared" si="5"/>
        <v>85.05</v>
      </c>
      <c r="N373" s="1">
        <v>0</v>
      </c>
    </row>
    <row r="374" spans="1:14">
      <c r="A374" s="2">
        <v>45980</v>
      </c>
      <c r="B374" s="1">
        <v>1151</v>
      </c>
      <c r="C374" s="1">
        <v>48</v>
      </c>
      <c r="D374" s="1" t="s">
        <v>111</v>
      </c>
      <c r="E374" s="1" t="s">
        <v>29</v>
      </c>
      <c r="F374" s="1" t="s">
        <v>41</v>
      </c>
      <c r="G374" s="1">
        <v>19</v>
      </c>
      <c r="H374" s="1" t="s">
        <v>64</v>
      </c>
      <c r="I374" s="1" t="s">
        <v>139</v>
      </c>
      <c r="J374" s="1">
        <v>1</v>
      </c>
      <c r="K374" s="1">
        <v>50.14</v>
      </c>
      <c r="L374" s="1">
        <v>15</v>
      </c>
      <c r="M374" s="16">
        <f t="shared" si="5"/>
        <v>42.619</v>
      </c>
      <c r="N374" s="1">
        <v>0</v>
      </c>
    </row>
    <row r="375" spans="1:14">
      <c r="A375" s="2">
        <v>46357</v>
      </c>
      <c r="B375" s="1">
        <v>1396</v>
      </c>
      <c r="C375" s="1">
        <v>48</v>
      </c>
      <c r="D375" s="1" t="s">
        <v>111</v>
      </c>
      <c r="E375" s="1" t="s">
        <v>29</v>
      </c>
      <c r="F375" s="1" t="s">
        <v>41</v>
      </c>
      <c r="G375" s="1">
        <v>19</v>
      </c>
      <c r="H375" s="1" t="s">
        <v>64</v>
      </c>
      <c r="I375" s="1" t="s">
        <v>17</v>
      </c>
      <c r="J375" s="1">
        <v>2</v>
      </c>
      <c r="K375" s="1">
        <v>50.14</v>
      </c>
      <c r="L375" s="1">
        <v>0</v>
      </c>
      <c r="M375" s="16">
        <f t="shared" si="5"/>
        <v>100.28</v>
      </c>
      <c r="N375" s="1">
        <v>0</v>
      </c>
    </row>
    <row r="376" spans="1:14">
      <c r="A376" s="2">
        <v>46357</v>
      </c>
      <c r="B376" s="1">
        <v>1396</v>
      </c>
      <c r="C376" s="1">
        <v>48</v>
      </c>
      <c r="D376" s="1" t="s">
        <v>111</v>
      </c>
      <c r="E376" s="1" t="s">
        <v>29</v>
      </c>
      <c r="F376" s="1" t="s">
        <v>41</v>
      </c>
      <c r="G376" s="1">
        <v>30</v>
      </c>
      <c r="H376" s="1" t="s">
        <v>57</v>
      </c>
      <c r="I376" s="1" t="s">
        <v>31</v>
      </c>
      <c r="J376" s="1">
        <v>1</v>
      </c>
      <c r="K376" s="1">
        <v>41.49</v>
      </c>
      <c r="L376" s="1">
        <v>0</v>
      </c>
      <c r="M376" s="16">
        <f t="shared" si="5"/>
        <v>41.49</v>
      </c>
      <c r="N376" s="1">
        <v>0</v>
      </c>
    </row>
    <row r="377" spans="1:14">
      <c r="A377" s="2">
        <v>46357</v>
      </c>
      <c r="B377" s="1">
        <v>1396</v>
      </c>
      <c r="C377" s="1">
        <v>48</v>
      </c>
      <c r="D377" s="1" t="s">
        <v>111</v>
      </c>
      <c r="E377" s="1" t="s">
        <v>29</v>
      </c>
      <c r="F377" s="1" t="s">
        <v>41</v>
      </c>
      <c r="G377" s="1">
        <v>19</v>
      </c>
      <c r="H377" s="1" t="s">
        <v>64</v>
      </c>
      <c r="I377" s="1" t="s">
        <v>17</v>
      </c>
      <c r="J377" s="1">
        <v>1</v>
      </c>
      <c r="K377" s="1">
        <v>50.14</v>
      </c>
      <c r="L377" s="1">
        <v>0</v>
      </c>
      <c r="M377" s="16">
        <f t="shared" si="5"/>
        <v>50.14</v>
      </c>
      <c r="N377" s="1">
        <v>0</v>
      </c>
    </row>
    <row r="378" spans="1:14">
      <c r="A378" s="2">
        <v>46357</v>
      </c>
      <c r="B378" s="1">
        <v>1396</v>
      </c>
      <c r="C378" s="1">
        <v>48</v>
      </c>
      <c r="D378" s="1" t="s">
        <v>111</v>
      </c>
      <c r="E378" s="1" t="s">
        <v>29</v>
      </c>
      <c r="F378" s="1" t="s">
        <v>41</v>
      </c>
      <c r="G378" s="1">
        <v>39</v>
      </c>
      <c r="H378" s="1" t="s">
        <v>36</v>
      </c>
      <c r="I378" s="1" t="s">
        <v>27</v>
      </c>
      <c r="J378" s="1">
        <v>1</v>
      </c>
      <c r="K378" s="1">
        <v>39.979999999999997</v>
      </c>
      <c r="L378" s="1">
        <v>0</v>
      </c>
      <c r="M378" s="16">
        <f t="shared" si="5"/>
        <v>39.979999999999997</v>
      </c>
      <c r="N378" s="1">
        <v>0</v>
      </c>
    </row>
    <row r="379" spans="1:14">
      <c r="A379" s="2">
        <v>45942</v>
      </c>
      <c r="B379" s="1">
        <v>1249</v>
      </c>
      <c r="C379" s="1">
        <v>49</v>
      </c>
      <c r="D379" s="1" t="s">
        <v>161</v>
      </c>
      <c r="E379" s="1" t="s">
        <v>40</v>
      </c>
      <c r="F379" s="1" t="s">
        <v>35</v>
      </c>
      <c r="G379" s="1">
        <v>5</v>
      </c>
      <c r="H379" s="1" t="s">
        <v>38</v>
      </c>
      <c r="I379" s="1" t="s">
        <v>21</v>
      </c>
      <c r="J379" s="1">
        <v>2</v>
      </c>
      <c r="K379" s="1">
        <v>38.869999999999997</v>
      </c>
      <c r="L379" s="1">
        <v>0</v>
      </c>
      <c r="M379" s="16">
        <f t="shared" si="5"/>
        <v>77.739999999999995</v>
      </c>
      <c r="N379" s="1">
        <v>0</v>
      </c>
    </row>
    <row r="380" spans="1:14">
      <c r="A380" s="2">
        <v>45942</v>
      </c>
      <c r="B380" s="1">
        <v>1249</v>
      </c>
      <c r="C380" s="1">
        <v>49</v>
      </c>
      <c r="D380" s="1" t="s">
        <v>161</v>
      </c>
      <c r="E380" s="1" t="s">
        <v>40</v>
      </c>
      <c r="F380" s="1" t="s">
        <v>15</v>
      </c>
      <c r="G380" s="1">
        <v>21</v>
      </c>
      <c r="H380" s="1" t="s">
        <v>97</v>
      </c>
      <c r="I380" s="1" t="s">
        <v>17</v>
      </c>
      <c r="J380" s="1">
        <v>2</v>
      </c>
      <c r="K380" s="1">
        <v>49.37</v>
      </c>
      <c r="L380" s="1">
        <v>0</v>
      </c>
      <c r="M380" s="16">
        <f t="shared" si="5"/>
        <v>98.74</v>
      </c>
      <c r="N380" s="1">
        <v>0</v>
      </c>
    </row>
    <row r="381" spans="1:14">
      <c r="A381" s="2">
        <v>45942</v>
      </c>
      <c r="B381" s="1">
        <v>1249</v>
      </c>
      <c r="C381" s="1">
        <v>49</v>
      </c>
      <c r="D381" s="1" t="s">
        <v>161</v>
      </c>
      <c r="E381" s="1" t="s">
        <v>40</v>
      </c>
      <c r="F381" s="1" t="s">
        <v>15</v>
      </c>
      <c r="G381" s="1">
        <v>39</v>
      </c>
      <c r="H381" s="1" t="s">
        <v>36</v>
      </c>
      <c r="I381" s="1" t="s">
        <v>27</v>
      </c>
      <c r="J381" s="1">
        <v>1</v>
      </c>
      <c r="K381" s="1">
        <v>39.979999999999997</v>
      </c>
      <c r="L381" s="1">
        <v>0</v>
      </c>
      <c r="M381" s="16">
        <f t="shared" si="5"/>
        <v>39.979999999999997</v>
      </c>
      <c r="N381" s="1">
        <v>0</v>
      </c>
    </row>
    <row r="382" spans="1:14">
      <c r="A382" s="2">
        <v>45942</v>
      </c>
      <c r="B382" s="1">
        <v>1249</v>
      </c>
      <c r="C382" s="1">
        <v>49</v>
      </c>
      <c r="D382" s="1" t="s">
        <v>161</v>
      </c>
      <c r="E382" s="1" t="s">
        <v>40</v>
      </c>
      <c r="F382" s="1" t="s">
        <v>15</v>
      </c>
      <c r="G382" s="1">
        <v>17</v>
      </c>
      <c r="H382" s="1" t="s">
        <v>60</v>
      </c>
      <c r="I382" s="1" t="s">
        <v>17</v>
      </c>
      <c r="J382" s="1">
        <v>3</v>
      </c>
      <c r="K382" s="1">
        <v>6.61</v>
      </c>
      <c r="L382" s="1">
        <v>0</v>
      </c>
      <c r="M382" s="16">
        <f t="shared" si="5"/>
        <v>19.830000000000002</v>
      </c>
      <c r="N382" s="1">
        <v>0</v>
      </c>
    </row>
    <row r="383" spans="1:14">
      <c r="A383" s="2">
        <v>46006</v>
      </c>
      <c r="B383" s="1">
        <v>1281</v>
      </c>
      <c r="C383" s="1">
        <v>49</v>
      </c>
      <c r="D383" s="1" t="s">
        <v>161</v>
      </c>
      <c r="E383" s="1" t="s">
        <v>40</v>
      </c>
      <c r="F383" s="1" t="s">
        <v>15</v>
      </c>
      <c r="G383" s="1">
        <v>28</v>
      </c>
      <c r="H383" s="1" t="s">
        <v>51</v>
      </c>
      <c r="I383" s="1" t="s">
        <v>37</v>
      </c>
      <c r="J383" s="1">
        <v>1</v>
      </c>
      <c r="K383" s="1">
        <v>21.24</v>
      </c>
      <c r="L383" s="1">
        <v>0</v>
      </c>
      <c r="M383" s="16">
        <f t="shared" si="5"/>
        <v>21.24</v>
      </c>
      <c r="N383" s="1">
        <v>0</v>
      </c>
    </row>
    <row r="384" spans="1:14">
      <c r="A384" s="2">
        <v>46236</v>
      </c>
      <c r="B384" s="1">
        <v>1466</v>
      </c>
      <c r="C384" s="1">
        <v>49</v>
      </c>
      <c r="D384" s="1" t="s">
        <v>161</v>
      </c>
      <c r="E384" s="1" t="s">
        <v>40</v>
      </c>
      <c r="F384" s="1" t="s">
        <v>15</v>
      </c>
      <c r="G384" s="1">
        <v>32</v>
      </c>
      <c r="H384" s="1" t="s">
        <v>103</v>
      </c>
      <c r="I384" s="1" t="s">
        <v>31</v>
      </c>
      <c r="J384" s="1">
        <v>3</v>
      </c>
      <c r="K384" s="1">
        <v>61.06</v>
      </c>
      <c r="L384" s="1">
        <v>20</v>
      </c>
      <c r="M384" s="16">
        <f t="shared" si="5"/>
        <v>146.54400000000001</v>
      </c>
      <c r="N384" s="1">
        <v>0</v>
      </c>
    </row>
    <row r="385" spans="1:14">
      <c r="A385" s="2">
        <v>45819</v>
      </c>
      <c r="B385" s="1">
        <v>1083</v>
      </c>
      <c r="C385" s="1">
        <v>50</v>
      </c>
      <c r="D385" s="1" t="s">
        <v>114</v>
      </c>
      <c r="E385" s="1" t="s">
        <v>29</v>
      </c>
      <c r="F385" s="1" t="s">
        <v>19</v>
      </c>
      <c r="G385" s="1">
        <v>35</v>
      </c>
      <c r="H385" s="1" t="s">
        <v>104</v>
      </c>
      <c r="I385" s="1" t="s">
        <v>27</v>
      </c>
      <c r="J385" s="1">
        <v>1</v>
      </c>
      <c r="K385" s="1">
        <v>11.3</v>
      </c>
      <c r="L385" s="1">
        <v>0</v>
      </c>
      <c r="M385" s="16">
        <f t="shared" si="5"/>
        <v>11.3</v>
      </c>
      <c r="N385" s="1">
        <v>0</v>
      </c>
    </row>
    <row r="386" spans="1:14">
      <c r="A386" s="2">
        <v>45819</v>
      </c>
      <c r="B386" s="1">
        <v>1083</v>
      </c>
      <c r="C386" s="1">
        <v>50</v>
      </c>
      <c r="D386" s="1" t="s">
        <v>114</v>
      </c>
      <c r="E386" s="1" t="s">
        <v>29</v>
      </c>
      <c r="F386" s="1" t="s">
        <v>19</v>
      </c>
      <c r="G386" s="1">
        <v>17</v>
      </c>
      <c r="H386" s="1" t="s">
        <v>60</v>
      </c>
      <c r="I386" s="1" t="s">
        <v>17</v>
      </c>
      <c r="J386" s="1">
        <v>2</v>
      </c>
      <c r="K386" s="1">
        <v>6.61</v>
      </c>
      <c r="L386" s="1">
        <v>0</v>
      </c>
      <c r="M386" s="16">
        <f t="shared" si="5"/>
        <v>13.22</v>
      </c>
      <c r="N386" s="1">
        <v>0</v>
      </c>
    </row>
    <row r="387" spans="1:14">
      <c r="A387" s="2">
        <v>45819</v>
      </c>
      <c r="B387" s="1">
        <v>1083</v>
      </c>
      <c r="C387" s="1">
        <v>50</v>
      </c>
      <c r="D387" s="1" t="s">
        <v>114</v>
      </c>
      <c r="E387" s="1" t="s">
        <v>29</v>
      </c>
      <c r="F387" s="1" t="s">
        <v>19</v>
      </c>
      <c r="G387" s="1">
        <v>30</v>
      </c>
      <c r="H387" s="1" t="s">
        <v>57</v>
      </c>
      <c r="I387" s="1" t="s">
        <v>31</v>
      </c>
      <c r="J387" s="1">
        <v>1</v>
      </c>
      <c r="K387" s="1">
        <v>41.49</v>
      </c>
      <c r="L387" s="1">
        <v>0</v>
      </c>
      <c r="M387" s="16">
        <f t="shared" ref="M387:M450" si="6">J387*K387*(1-L387/100)</f>
        <v>41.49</v>
      </c>
      <c r="N387" s="1">
        <v>0</v>
      </c>
    </row>
    <row r="388" spans="1:14">
      <c r="A388" s="2">
        <v>45819</v>
      </c>
      <c r="B388" s="1">
        <v>1083</v>
      </c>
      <c r="C388" s="1">
        <v>50</v>
      </c>
      <c r="D388" s="1" t="s">
        <v>114</v>
      </c>
      <c r="E388" s="1" t="s">
        <v>29</v>
      </c>
      <c r="F388" s="1" t="s">
        <v>19</v>
      </c>
      <c r="G388" s="1">
        <v>1</v>
      </c>
      <c r="H388" s="1" t="s">
        <v>20</v>
      </c>
      <c r="I388" s="1" t="s">
        <v>21</v>
      </c>
      <c r="J388" s="1">
        <v>1</v>
      </c>
      <c r="K388" s="1">
        <v>38.869999999999997</v>
      </c>
      <c r="L388" s="1">
        <v>0</v>
      </c>
      <c r="M388" s="16">
        <f t="shared" si="6"/>
        <v>38.869999999999997</v>
      </c>
      <c r="N388" s="1">
        <v>0</v>
      </c>
    </row>
    <row r="389" spans="1:14">
      <c r="A389" s="2">
        <v>45951</v>
      </c>
      <c r="B389" s="1">
        <v>1038</v>
      </c>
      <c r="C389" s="1">
        <v>51</v>
      </c>
      <c r="D389" s="1" t="s">
        <v>91</v>
      </c>
      <c r="E389" s="1" t="s">
        <v>40</v>
      </c>
      <c r="F389" s="1" t="s">
        <v>55</v>
      </c>
      <c r="G389" s="1">
        <v>4</v>
      </c>
      <c r="H389" s="1" t="s">
        <v>92</v>
      </c>
      <c r="I389" s="1" t="s">
        <v>21</v>
      </c>
      <c r="J389" s="1">
        <v>2</v>
      </c>
      <c r="K389" s="1">
        <v>34.83</v>
      </c>
      <c r="L389" s="1">
        <v>0</v>
      </c>
      <c r="M389" s="16">
        <f t="shared" si="6"/>
        <v>69.66</v>
      </c>
      <c r="N389" s="1">
        <v>0</v>
      </c>
    </row>
    <row r="390" spans="1:14">
      <c r="A390" s="2">
        <v>45951</v>
      </c>
      <c r="B390" s="1">
        <v>1038</v>
      </c>
      <c r="C390" s="1">
        <v>51</v>
      </c>
      <c r="D390" s="1" t="s">
        <v>91</v>
      </c>
      <c r="E390" s="1" t="s">
        <v>40</v>
      </c>
      <c r="F390" s="1" t="s">
        <v>55</v>
      </c>
      <c r="G390" s="1">
        <v>4</v>
      </c>
      <c r="H390" s="1" t="s">
        <v>92</v>
      </c>
      <c r="I390" s="1" t="s">
        <v>21</v>
      </c>
      <c r="J390" s="1">
        <v>3</v>
      </c>
      <c r="K390" s="1">
        <v>34.83</v>
      </c>
      <c r="L390" s="1">
        <v>0</v>
      </c>
      <c r="M390" s="16">
        <f t="shared" si="6"/>
        <v>104.49</v>
      </c>
      <c r="N390" s="1">
        <v>0</v>
      </c>
    </row>
    <row r="391" spans="1:14">
      <c r="A391" s="2">
        <v>46020</v>
      </c>
      <c r="B391" s="1">
        <v>1351</v>
      </c>
      <c r="C391" s="1">
        <v>51</v>
      </c>
      <c r="D391" s="1" t="s">
        <v>91</v>
      </c>
      <c r="E391" s="1" t="s">
        <v>40</v>
      </c>
      <c r="F391" s="1" t="s">
        <v>55</v>
      </c>
      <c r="G391" s="1">
        <v>4</v>
      </c>
      <c r="H391" s="1" t="s">
        <v>92</v>
      </c>
      <c r="I391" s="1" t="s">
        <v>21</v>
      </c>
      <c r="J391" s="1">
        <v>1</v>
      </c>
      <c r="K391" s="1">
        <v>34.83</v>
      </c>
      <c r="L391" s="1">
        <v>0</v>
      </c>
      <c r="M391" s="16">
        <f t="shared" si="6"/>
        <v>34.83</v>
      </c>
      <c r="N391" s="1">
        <v>0</v>
      </c>
    </row>
    <row r="392" spans="1:14">
      <c r="A392" s="2">
        <v>46074</v>
      </c>
      <c r="B392" s="1">
        <v>1513</v>
      </c>
      <c r="C392" s="1">
        <v>51</v>
      </c>
      <c r="D392" s="1" t="s">
        <v>91</v>
      </c>
      <c r="E392" s="1" t="s">
        <v>40</v>
      </c>
      <c r="F392" s="1" t="s">
        <v>55</v>
      </c>
      <c r="G392" s="1">
        <v>17</v>
      </c>
      <c r="H392" s="1" t="s">
        <v>60</v>
      </c>
      <c r="I392" s="1" t="s">
        <v>17</v>
      </c>
      <c r="J392" s="1">
        <v>1</v>
      </c>
      <c r="K392" s="1">
        <v>6.61</v>
      </c>
      <c r="L392" s="1">
        <v>15</v>
      </c>
      <c r="M392" s="16">
        <f t="shared" si="6"/>
        <v>5.6185</v>
      </c>
      <c r="N392" s="1">
        <v>0</v>
      </c>
    </row>
    <row r="393" spans="1:14">
      <c r="A393" s="2">
        <v>46074</v>
      </c>
      <c r="B393" s="1">
        <v>1513</v>
      </c>
      <c r="C393" s="1">
        <v>51</v>
      </c>
      <c r="D393" s="1" t="s">
        <v>91</v>
      </c>
      <c r="E393" s="1" t="s">
        <v>40</v>
      </c>
      <c r="F393" s="1" t="s">
        <v>55</v>
      </c>
      <c r="G393" s="1">
        <v>34</v>
      </c>
      <c r="H393" s="1" t="s">
        <v>130</v>
      </c>
      <c r="I393" s="1" t="s">
        <v>31</v>
      </c>
      <c r="J393" s="1">
        <v>1</v>
      </c>
      <c r="K393" s="1">
        <v>58.26</v>
      </c>
      <c r="L393" s="1">
        <v>25</v>
      </c>
      <c r="M393" s="16">
        <f t="shared" si="6"/>
        <v>43.695</v>
      </c>
      <c r="N393" s="1">
        <v>0</v>
      </c>
    </row>
    <row r="394" spans="1:14">
      <c r="A394" s="2">
        <v>45952</v>
      </c>
      <c r="B394" s="1">
        <v>1041</v>
      </c>
      <c r="C394" s="1">
        <v>53</v>
      </c>
      <c r="D394" s="1" t="s">
        <v>94</v>
      </c>
      <c r="E394" s="1" t="s">
        <v>14</v>
      </c>
      <c r="F394" s="1" t="s">
        <v>41</v>
      </c>
      <c r="G394" s="1">
        <v>1</v>
      </c>
      <c r="H394" s="1" t="s">
        <v>20</v>
      </c>
      <c r="I394" s="1" t="s">
        <v>21</v>
      </c>
      <c r="J394" s="1">
        <v>1</v>
      </c>
      <c r="K394" s="1">
        <v>47.45</v>
      </c>
      <c r="L394" s="1">
        <v>0</v>
      </c>
      <c r="M394" s="16">
        <f t="shared" si="6"/>
        <v>47.45</v>
      </c>
      <c r="N394" s="1">
        <v>0</v>
      </c>
    </row>
    <row r="395" spans="1:14">
      <c r="A395" s="2">
        <v>45952</v>
      </c>
      <c r="B395" s="1">
        <v>1041</v>
      </c>
      <c r="C395" s="1">
        <v>53</v>
      </c>
      <c r="D395" s="1" t="s">
        <v>94</v>
      </c>
      <c r="E395" s="1" t="s">
        <v>14</v>
      </c>
      <c r="F395" s="1" t="s">
        <v>41</v>
      </c>
      <c r="G395" s="1">
        <v>38</v>
      </c>
      <c r="H395" s="1" t="s">
        <v>70</v>
      </c>
      <c r="I395" s="1" t="s">
        <v>27</v>
      </c>
      <c r="J395" s="1">
        <v>1</v>
      </c>
      <c r="K395" s="1">
        <v>25.14</v>
      </c>
      <c r="L395" s="1">
        <v>5</v>
      </c>
      <c r="M395" s="16">
        <f t="shared" si="6"/>
        <v>23.882999999999999</v>
      </c>
      <c r="N395" s="1">
        <v>0</v>
      </c>
    </row>
    <row r="396" spans="1:14">
      <c r="A396" s="2">
        <v>45668</v>
      </c>
      <c r="B396" s="1">
        <v>1066</v>
      </c>
      <c r="C396" s="1">
        <v>53</v>
      </c>
      <c r="D396" s="1" t="s">
        <v>94</v>
      </c>
      <c r="E396" s="1" t="s">
        <v>14</v>
      </c>
      <c r="F396" s="1" t="s">
        <v>41</v>
      </c>
      <c r="G396" s="1">
        <v>37</v>
      </c>
      <c r="H396" s="1" t="s">
        <v>26</v>
      </c>
      <c r="I396" s="1" t="s">
        <v>27</v>
      </c>
      <c r="J396" s="1">
        <v>1</v>
      </c>
      <c r="K396" s="1">
        <v>52.67</v>
      </c>
      <c r="L396" s="1">
        <v>10</v>
      </c>
      <c r="M396" s="16">
        <f t="shared" si="6"/>
        <v>47.403000000000006</v>
      </c>
      <c r="N396" s="1">
        <v>0</v>
      </c>
    </row>
    <row r="397" spans="1:14">
      <c r="A397" s="2">
        <v>45727</v>
      </c>
      <c r="B397" s="1">
        <v>1073</v>
      </c>
      <c r="C397" s="1">
        <v>53</v>
      </c>
      <c r="D397" s="1" t="s">
        <v>94</v>
      </c>
      <c r="E397" s="1" t="s">
        <v>14</v>
      </c>
      <c r="F397" s="1" t="s">
        <v>41</v>
      </c>
      <c r="G397" s="1">
        <v>39</v>
      </c>
      <c r="H397" s="1" t="s">
        <v>36</v>
      </c>
      <c r="I397" s="1" t="s">
        <v>27</v>
      </c>
      <c r="J397" s="1">
        <v>1</v>
      </c>
      <c r="K397" s="1">
        <v>39.979999999999997</v>
      </c>
      <c r="L397" s="1">
        <v>20</v>
      </c>
      <c r="M397" s="16">
        <f t="shared" si="6"/>
        <v>31.983999999999998</v>
      </c>
      <c r="N397" s="1">
        <v>0</v>
      </c>
    </row>
    <row r="398" spans="1:14">
      <c r="A398" s="2">
        <v>45758</v>
      </c>
      <c r="B398" s="1">
        <v>1077</v>
      </c>
      <c r="C398" s="1">
        <v>53</v>
      </c>
      <c r="D398" s="1" t="s">
        <v>94</v>
      </c>
      <c r="E398" s="1" t="s">
        <v>14</v>
      </c>
      <c r="F398" s="1" t="s">
        <v>41</v>
      </c>
      <c r="G398" s="1">
        <v>40</v>
      </c>
      <c r="H398" s="1" t="s">
        <v>53</v>
      </c>
      <c r="I398" s="1" t="s">
        <v>27</v>
      </c>
      <c r="J398" s="1">
        <v>3</v>
      </c>
      <c r="K398" s="1">
        <v>47.25</v>
      </c>
      <c r="L398" s="1">
        <v>0</v>
      </c>
      <c r="M398" s="16">
        <f t="shared" si="6"/>
        <v>141.75</v>
      </c>
      <c r="N398" s="1">
        <v>0</v>
      </c>
    </row>
    <row r="399" spans="1:14">
      <c r="A399" s="2">
        <v>45758</v>
      </c>
      <c r="B399" s="1">
        <v>1077</v>
      </c>
      <c r="C399" s="1">
        <v>53</v>
      </c>
      <c r="D399" s="1" t="s">
        <v>94</v>
      </c>
      <c r="E399" s="1" t="s">
        <v>14</v>
      </c>
      <c r="F399" s="1" t="s">
        <v>41</v>
      </c>
      <c r="G399" s="1">
        <v>11</v>
      </c>
      <c r="H399" s="1" t="s">
        <v>65</v>
      </c>
      <c r="I399" s="1" t="s">
        <v>33</v>
      </c>
      <c r="J399" s="1">
        <v>2</v>
      </c>
      <c r="K399" s="1">
        <v>58.35</v>
      </c>
      <c r="L399" s="1">
        <v>0</v>
      </c>
      <c r="M399" s="16">
        <f t="shared" si="6"/>
        <v>116.7</v>
      </c>
      <c r="N399" s="1">
        <v>0</v>
      </c>
    </row>
    <row r="400" spans="1:14">
      <c r="A400" s="2">
        <v>45941</v>
      </c>
      <c r="B400" s="1">
        <v>1044</v>
      </c>
      <c r="C400" s="1">
        <v>53</v>
      </c>
      <c r="D400" s="1" t="s">
        <v>94</v>
      </c>
      <c r="E400" s="1" t="s">
        <v>14</v>
      </c>
      <c r="F400" s="1" t="s">
        <v>41</v>
      </c>
      <c r="G400" s="1">
        <v>4</v>
      </c>
      <c r="H400" s="1" t="s">
        <v>92</v>
      </c>
      <c r="I400" s="1" t="s">
        <v>21</v>
      </c>
      <c r="J400" s="1">
        <v>1</v>
      </c>
      <c r="K400" s="1">
        <v>34.83</v>
      </c>
      <c r="L400" s="1">
        <v>10</v>
      </c>
      <c r="M400" s="16">
        <f t="shared" si="6"/>
        <v>31.346999999999998</v>
      </c>
      <c r="N400" s="1">
        <v>0</v>
      </c>
    </row>
    <row r="401" spans="1:14">
      <c r="A401" s="2">
        <v>45941</v>
      </c>
      <c r="B401" s="1">
        <v>1104</v>
      </c>
      <c r="C401" s="1">
        <v>53</v>
      </c>
      <c r="D401" s="1" t="s">
        <v>94</v>
      </c>
      <c r="E401" s="1" t="s">
        <v>14</v>
      </c>
      <c r="F401" s="1" t="s">
        <v>41</v>
      </c>
      <c r="G401" s="1">
        <v>27</v>
      </c>
      <c r="H401" s="1" t="s">
        <v>89</v>
      </c>
      <c r="I401" s="1" t="s">
        <v>37</v>
      </c>
      <c r="J401" s="1">
        <v>1</v>
      </c>
      <c r="K401" s="1">
        <v>27.3</v>
      </c>
      <c r="L401" s="1">
        <v>5</v>
      </c>
      <c r="M401" s="16">
        <f t="shared" si="6"/>
        <v>25.934999999999999</v>
      </c>
      <c r="N401" s="1">
        <v>0</v>
      </c>
    </row>
    <row r="402" spans="1:14">
      <c r="A402" s="2">
        <v>45971</v>
      </c>
      <c r="B402" s="1">
        <v>1104</v>
      </c>
      <c r="C402" s="1">
        <v>53</v>
      </c>
      <c r="D402" s="1" t="s">
        <v>94</v>
      </c>
      <c r="E402" s="1" t="s">
        <v>14</v>
      </c>
      <c r="F402" s="1" t="s">
        <v>41</v>
      </c>
      <c r="G402" s="1">
        <v>27</v>
      </c>
      <c r="H402" s="1" t="s">
        <v>89</v>
      </c>
      <c r="I402" s="1" t="s">
        <v>37</v>
      </c>
      <c r="J402" s="1">
        <v>2</v>
      </c>
      <c r="K402" s="1">
        <v>27.3</v>
      </c>
      <c r="L402" s="1">
        <v>10</v>
      </c>
      <c r="M402" s="16">
        <f t="shared" si="6"/>
        <v>49.14</v>
      </c>
      <c r="N402" s="1">
        <v>0</v>
      </c>
    </row>
    <row r="403" spans="1:14">
      <c r="A403" s="2">
        <v>45941</v>
      </c>
      <c r="B403" s="1">
        <v>1104</v>
      </c>
      <c r="C403" s="1">
        <v>53</v>
      </c>
      <c r="D403" s="1" t="s">
        <v>94</v>
      </c>
      <c r="E403" s="1" t="s">
        <v>14</v>
      </c>
      <c r="F403" s="1" t="s">
        <v>41</v>
      </c>
      <c r="G403" s="1">
        <v>13</v>
      </c>
      <c r="H403" s="1" t="s">
        <v>45</v>
      </c>
      <c r="I403" s="1" t="s">
        <v>33</v>
      </c>
      <c r="J403" s="1">
        <v>1</v>
      </c>
      <c r="K403" s="1">
        <v>54.9</v>
      </c>
      <c r="L403" s="1">
        <v>0</v>
      </c>
      <c r="M403" s="16">
        <f t="shared" si="6"/>
        <v>54.9</v>
      </c>
      <c r="N403" s="1">
        <v>0</v>
      </c>
    </row>
    <row r="404" spans="1:14">
      <c r="A404" s="2">
        <v>45975</v>
      </c>
      <c r="B404" s="1">
        <v>1124</v>
      </c>
      <c r="C404" s="1">
        <v>53</v>
      </c>
      <c r="D404" s="1" t="s">
        <v>94</v>
      </c>
      <c r="E404" s="1" t="s">
        <v>14</v>
      </c>
      <c r="F404" s="1" t="s">
        <v>41</v>
      </c>
      <c r="G404" s="1">
        <v>30</v>
      </c>
      <c r="H404" s="1" t="s">
        <v>57</v>
      </c>
      <c r="I404" s="1" t="s">
        <v>31</v>
      </c>
      <c r="J404" s="1">
        <v>1</v>
      </c>
      <c r="K404" s="1">
        <v>41.49</v>
      </c>
      <c r="L404" s="1">
        <v>10</v>
      </c>
      <c r="M404" s="16">
        <f t="shared" si="6"/>
        <v>37.341000000000001</v>
      </c>
      <c r="N404" s="1">
        <v>0</v>
      </c>
    </row>
    <row r="405" spans="1:14">
      <c r="A405" s="2">
        <v>45981</v>
      </c>
      <c r="B405" s="1">
        <v>1156</v>
      </c>
      <c r="C405" s="1">
        <v>53</v>
      </c>
      <c r="D405" s="1" t="s">
        <v>94</v>
      </c>
      <c r="E405" s="1" t="s">
        <v>14</v>
      </c>
      <c r="F405" s="1" t="s">
        <v>41</v>
      </c>
      <c r="G405" s="1">
        <v>35</v>
      </c>
      <c r="H405" s="1" t="s">
        <v>104</v>
      </c>
      <c r="I405" s="1" t="s">
        <v>27</v>
      </c>
      <c r="J405" s="1">
        <v>2</v>
      </c>
      <c r="K405" s="1">
        <v>11.3</v>
      </c>
      <c r="L405" s="1">
        <v>0</v>
      </c>
      <c r="M405" s="16">
        <f t="shared" si="6"/>
        <v>22.6</v>
      </c>
      <c r="N405" s="1">
        <v>0</v>
      </c>
    </row>
    <row r="406" spans="1:14">
      <c r="A406" s="2">
        <v>45669</v>
      </c>
      <c r="B406" s="1">
        <v>1208</v>
      </c>
      <c r="C406" s="1">
        <v>53</v>
      </c>
      <c r="D406" s="1" t="s">
        <v>94</v>
      </c>
      <c r="E406" s="1" t="s">
        <v>14</v>
      </c>
      <c r="F406" s="1" t="s">
        <v>41</v>
      </c>
      <c r="G406" s="1">
        <v>37</v>
      </c>
      <c r="H406" s="1" t="s">
        <v>26</v>
      </c>
      <c r="I406" s="1" t="s">
        <v>27</v>
      </c>
      <c r="J406" s="1">
        <v>1</v>
      </c>
      <c r="K406" s="1">
        <v>52.67</v>
      </c>
      <c r="L406" s="1">
        <v>10</v>
      </c>
      <c r="M406" s="16">
        <f t="shared" si="6"/>
        <v>47.403000000000006</v>
      </c>
      <c r="N406" s="1">
        <v>0</v>
      </c>
    </row>
    <row r="407" spans="1:14">
      <c r="A407" s="2">
        <v>46010</v>
      </c>
      <c r="B407" s="1">
        <v>1298</v>
      </c>
      <c r="C407" s="1">
        <v>53</v>
      </c>
      <c r="D407" s="1" t="s">
        <v>94</v>
      </c>
      <c r="E407" s="1" t="s">
        <v>14</v>
      </c>
      <c r="F407" s="1" t="s">
        <v>41</v>
      </c>
      <c r="G407" s="1">
        <v>19</v>
      </c>
      <c r="H407" s="1" t="s">
        <v>64</v>
      </c>
      <c r="I407" s="1" t="s">
        <v>17</v>
      </c>
      <c r="J407" s="1">
        <v>1</v>
      </c>
      <c r="K407" s="1">
        <v>50.14</v>
      </c>
      <c r="L407" s="1">
        <v>0</v>
      </c>
      <c r="M407" s="16">
        <f t="shared" si="6"/>
        <v>50.14</v>
      </c>
      <c r="N407" s="1">
        <v>0</v>
      </c>
    </row>
    <row r="408" spans="1:14">
      <c r="A408" s="2">
        <v>46036</v>
      </c>
      <c r="B408" s="1">
        <v>1403</v>
      </c>
      <c r="C408" s="1">
        <v>53</v>
      </c>
      <c r="D408" s="1" t="s">
        <v>94</v>
      </c>
      <c r="E408" s="1" t="s">
        <v>14</v>
      </c>
      <c r="F408" s="1" t="s">
        <v>41</v>
      </c>
      <c r="G408" s="1">
        <v>22</v>
      </c>
      <c r="H408" s="1" t="s">
        <v>75</v>
      </c>
      <c r="I408" s="1" t="s">
        <v>17</v>
      </c>
      <c r="J408" s="1">
        <v>1</v>
      </c>
      <c r="K408" s="1">
        <v>29.98</v>
      </c>
      <c r="L408" s="1">
        <v>0</v>
      </c>
      <c r="M408" s="16">
        <f t="shared" si="6"/>
        <v>29.98</v>
      </c>
      <c r="N408" s="1">
        <v>1</v>
      </c>
    </row>
    <row r="409" spans="1:14">
      <c r="A409" s="2">
        <v>46046</v>
      </c>
      <c r="B409" s="1">
        <v>1428</v>
      </c>
      <c r="C409" s="1">
        <v>53</v>
      </c>
      <c r="D409" s="1" t="s">
        <v>94</v>
      </c>
      <c r="E409" s="1" t="s">
        <v>14</v>
      </c>
      <c r="F409" s="1" t="s">
        <v>41</v>
      </c>
      <c r="G409" s="1">
        <v>37</v>
      </c>
      <c r="H409" s="1" t="s">
        <v>26</v>
      </c>
      <c r="I409" s="1" t="s">
        <v>27</v>
      </c>
      <c r="J409" s="1">
        <v>1</v>
      </c>
      <c r="K409" s="1">
        <v>52.67</v>
      </c>
      <c r="L409" s="1">
        <v>10</v>
      </c>
      <c r="M409" s="16">
        <f t="shared" si="6"/>
        <v>47.403000000000006</v>
      </c>
      <c r="N409" s="1">
        <v>0</v>
      </c>
    </row>
    <row r="410" spans="1:14">
      <c r="A410" s="2">
        <v>46073</v>
      </c>
      <c r="B410" s="1">
        <v>1507</v>
      </c>
      <c r="C410" s="1">
        <v>53</v>
      </c>
      <c r="D410" s="1" t="s">
        <v>94</v>
      </c>
      <c r="E410" s="1" t="s">
        <v>14</v>
      </c>
      <c r="F410" s="1" t="s">
        <v>41</v>
      </c>
      <c r="G410" s="1">
        <v>23</v>
      </c>
      <c r="H410" s="1" t="s">
        <v>98</v>
      </c>
      <c r="I410" s="1" t="s">
        <v>37</v>
      </c>
      <c r="J410" s="1">
        <v>2</v>
      </c>
      <c r="K410" s="1">
        <v>38.14</v>
      </c>
      <c r="L410" s="1">
        <v>0</v>
      </c>
      <c r="M410" s="16">
        <f t="shared" si="6"/>
        <v>76.28</v>
      </c>
      <c r="N410" s="1">
        <v>0</v>
      </c>
    </row>
    <row r="411" spans="1:14">
      <c r="A411" s="2">
        <v>45952</v>
      </c>
      <c r="B411" s="1">
        <v>1042</v>
      </c>
      <c r="C411" s="1">
        <v>54</v>
      </c>
      <c r="D411" s="1" t="s">
        <v>95</v>
      </c>
      <c r="E411" s="1" t="s">
        <v>29</v>
      </c>
      <c r="F411" s="1" t="s">
        <v>15</v>
      </c>
      <c r="G411" s="1">
        <v>8</v>
      </c>
      <c r="H411" s="1" t="s">
        <v>84</v>
      </c>
      <c r="I411" s="1" t="s">
        <v>21</v>
      </c>
      <c r="J411" s="1">
        <v>1</v>
      </c>
      <c r="K411" s="1">
        <v>16.72</v>
      </c>
      <c r="L411" s="1">
        <v>0</v>
      </c>
      <c r="M411" s="16">
        <f t="shared" si="6"/>
        <v>16.72</v>
      </c>
      <c r="N411" s="1">
        <v>0</v>
      </c>
    </row>
    <row r="412" spans="1:14">
      <c r="A412" s="2">
        <v>45972</v>
      </c>
      <c r="B412" s="1">
        <v>1112</v>
      </c>
      <c r="C412" s="1">
        <v>54</v>
      </c>
      <c r="D412" s="1" t="s">
        <v>95</v>
      </c>
      <c r="E412" s="1" t="s">
        <v>29</v>
      </c>
      <c r="F412" s="1" t="s">
        <v>15</v>
      </c>
      <c r="G412" s="1">
        <v>35</v>
      </c>
      <c r="H412" s="1" t="str">
        <f>IF(I412="Apparel","Joggers",IF(I412="Beauty","Vitamin C Serum",IF(I412="Electronics","Wireless Earbuds",IF(I412="Home","LED Lamp",IF(I412="Sports","Water Bottle",IF(I412="Toys","RC Car",""))))))</f>
        <v>RC Car</v>
      </c>
      <c r="I412" s="1" t="s">
        <v>27</v>
      </c>
      <c r="J412" s="1">
        <v>1</v>
      </c>
      <c r="K412" s="1">
        <v>11.3</v>
      </c>
      <c r="L412" s="1">
        <v>0</v>
      </c>
      <c r="M412" s="16">
        <f t="shared" si="6"/>
        <v>11.3</v>
      </c>
      <c r="N412" s="1">
        <v>0</v>
      </c>
    </row>
    <row r="413" spans="1:14">
      <c r="A413" s="2">
        <v>45972</v>
      </c>
      <c r="B413" s="1">
        <v>1112</v>
      </c>
      <c r="C413" s="1">
        <v>54</v>
      </c>
      <c r="D413" s="1" t="s">
        <v>95</v>
      </c>
      <c r="E413" s="1" t="s">
        <v>29</v>
      </c>
      <c r="F413" s="1" t="s">
        <v>15</v>
      </c>
      <c r="G413" s="1">
        <v>14</v>
      </c>
      <c r="H413" s="1" t="s">
        <v>105</v>
      </c>
      <c r="I413" s="1" t="s">
        <v>33</v>
      </c>
      <c r="J413" s="1">
        <v>1</v>
      </c>
      <c r="K413" s="1">
        <v>15.36</v>
      </c>
      <c r="L413" s="1">
        <v>0</v>
      </c>
      <c r="M413" s="16">
        <f t="shared" si="6"/>
        <v>15.36</v>
      </c>
      <c r="N413" s="1">
        <v>0</v>
      </c>
    </row>
    <row r="414" spans="1:14">
      <c r="A414" s="2">
        <v>45980</v>
      </c>
      <c r="B414" s="1">
        <v>1152</v>
      </c>
      <c r="C414" s="1">
        <v>54</v>
      </c>
      <c r="D414" s="1" t="s">
        <v>95</v>
      </c>
      <c r="E414" s="1" t="s">
        <v>29</v>
      </c>
      <c r="F414" s="1" t="s">
        <v>15</v>
      </c>
      <c r="G414" s="1">
        <v>27</v>
      </c>
      <c r="H414" s="1" t="s">
        <v>89</v>
      </c>
      <c r="I414" s="1" t="s">
        <v>37</v>
      </c>
      <c r="J414" s="1">
        <v>3</v>
      </c>
      <c r="K414" s="1">
        <v>27.3</v>
      </c>
      <c r="L414" s="1">
        <v>0</v>
      </c>
      <c r="M414" s="16">
        <f t="shared" si="6"/>
        <v>81.900000000000006</v>
      </c>
      <c r="N414" s="1">
        <v>0</v>
      </c>
    </row>
    <row r="415" spans="1:14">
      <c r="A415" s="2">
        <v>45789</v>
      </c>
      <c r="B415" s="1">
        <v>1226</v>
      </c>
      <c r="C415" s="1">
        <v>54</v>
      </c>
      <c r="D415" s="1" t="s">
        <v>95</v>
      </c>
      <c r="E415" s="1" t="s">
        <v>29</v>
      </c>
      <c r="F415" s="1" t="s">
        <v>15</v>
      </c>
      <c r="G415" s="1">
        <v>32</v>
      </c>
      <c r="H415" s="1" t="s">
        <v>103</v>
      </c>
      <c r="I415" s="1" t="s">
        <v>31</v>
      </c>
      <c r="J415" s="1">
        <v>2</v>
      </c>
      <c r="K415" s="1">
        <v>61.06</v>
      </c>
      <c r="L415" s="1">
        <v>0</v>
      </c>
      <c r="M415" s="16">
        <f t="shared" si="6"/>
        <v>122.12</v>
      </c>
      <c r="N415" s="1">
        <v>0</v>
      </c>
    </row>
    <row r="416" spans="1:14">
      <c r="A416" s="2">
        <v>45789</v>
      </c>
      <c r="B416" s="1">
        <v>1226</v>
      </c>
      <c r="C416" s="1">
        <v>54</v>
      </c>
      <c r="D416" s="1" t="s">
        <v>95</v>
      </c>
      <c r="E416" s="1" t="s">
        <v>29</v>
      </c>
      <c r="F416" s="1" t="s">
        <v>15</v>
      </c>
      <c r="G416" s="1">
        <v>35</v>
      </c>
      <c r="H416" s="1" t="s">
        <v>104</v>
      </c>
      <c r="I416" s="1" t="s">
        <v>27</v>
      </c>
      <c r="J416" s="1">
        <v>2</v>
      </c>
      <c r="K416" s="1">
        <v>11.3</v>
      </c>
      <c r="L416" s="1">
        <v>0</v>
      </c>
      <c r="M416" s="16">
        <f t="shared" si="6"/>
        <v>22.6</v>
      </c>
      <c r="N416" s="1">
        <v>0</v>
      </c>
    </row>
    <row r="417" spans="1:14">
      <c r="A417" s="2">
        <v>46043</v>
      </c>
      <c r="B417" s="1">
        <v>1044</v>
      </c>
      <c r="C417" s="1">
        <v>54</v>
      </c>
      <c r="D417" s="1" t="s">
        <v>95</v>
      </c>
      <c r="E417" s="1" t="s">
        <v>29</v>
      </c>
      <c r="F417" s="1" t="s">
        <v>15</v>
      </c>
      <c r="G417" s="1">
        <v>23</v>
      </c>
      <c r="H417" s="1" t="s">
        <v>98</v>
      </c>
      <c r="I417" s="1" t="s">
        <v>37</v>
      </c>
      <c r="J417" s="1">
        <v>1</v>
      </c>
      <c r="K417" s="1">
        <v>38.14</v>
      </c>
      <c r="L417" s="1">
        <v>25</v>
      </c>
      <c r="M417" s="16">
        <f t="shared" si="6"/>
        <v>28.605</v>
      </c>
      <c r="N417" s="1">
        <v>0</v>
      </c>
    </row>
    <row r="418" spans="1:14">
      <c r="A418" s="2">
        <v>46043</v>
      </c>
      <c r="B418" s="1">
        <v>1419</v>
      </c>
      <c r="C418" s="1">
        <v>54</v>
      </c>
      <c r="D418" s="1" t="s">
        <v>95</v>
      </c>
      <c r="E418" s="1" t="s">
        <v>29</v>
      </c>
      <c r="F418" s="1" t="s">
        <v>15</v>
      </c>
      <c r="G418" s="1">
        <v>6</v>
      </c>
      <c r="H418" s="1" t="s">
        <v>99</v>
      </c>
      <c r="I418" s="1" t="s">
        <v>21</v>
      </c>
      <c r="J418" s="1">
        <v>1</v>
      </c>
      <c r="K418" s="1">
        <v>70.47</v>
      </c>
      <c r="L418" s="1">
        <v>10</v>
      </c>
      <c r="M418" s="16">
        <f t="shared" si="6"/>
        <v>63.423000000000002</v>
      </c>
      <c r="N418" s="1">
        <v>0</v>
      </c>
    </row>
    <row r="419" spans="1:14">
      <c r="A419" s="2">
        <v>46032</v>
      </c>
      <c r="B419" s="1">
        <v>1386</v>
      </c>
      <c r="C419" s="1">
        <v>56</v>
      </c>
      <c r="D419" s="1" t="s">
        <v>179</v>
      </c>
      <c r="E419" s="1" t="s">
        <v>40</v>
      </c>
      <c r="F419" s="1" t="s">
        <v>35</v>
      </c>
      <c r="G419" s="1">
        <v>5</v>
      </c>
      <c r="H419" s="1" t="s">
        <v>38</v>
      </c>
      <c r="I419" s="1" t="s">
        <v>21</v>
      </c>
      <c r="J419" s="1">
        <v>2</v>
      </c>
      <c r="K419" s="1">
        <v>42.53</v>
      </c>
      <c r="L419" s="1">
        <v>0</v>
      </c>
      <c r="M419" s="16">
        <f t="shared" si="6"/>
        <v>85.06</v>
      </c>
      <c r="N419" s="1">
        <v>0</v>
      </c>
    </row>
    <row r="420" spans="1:14">
      <c r="A420" s="2">
        <v>46045</v>
      </c>
      <c r="B420" s="1">
        <v>1422</v>
      </c>
      <c r="C420" s="1">
        <v>56</v>
      </c>
      <c r="D420" s="1" t="s">
        <v>179</v>
      </c>
      <c r="E420" s="1" t="s">
        <v>40</v>
      </c>
      <c r="F420" s="1" t="s">
        <v>35</v>
      </c>
      <c r="G420" s="1">
        <v>34</v>
      </c>
      <c r="H420" s="1" t="s">
        <v>130</v>
      </c>
      <c r="I420" s="1" t="s">
        <v>31</v>
      </c>
      <c r="J420" s="1">
        <v>1</v>
      </c>
      <c r="K420" s="1">
        <v>38.869999999999997</v>
      </c>
      <c r="L420" s="1">
        <v>15</v>
      </c>
      <c r="M420" s="16">
        <f t="shared" si="6"/>
        <v>33.039499999999997</v>
      </c>
      <c r="N420" s="1">
        <v>0</v>
      </c>
    </row>
    <row r="421" spans="1:14">
      <c r="A421" s="2">
        <v>46045</v>
      </c>
      <c r="B421" s="1">
        <v>1422</v>
      </c>
      <c r="C421" s="1">
        <v>56</v>
      </c>
      <c r="D421" s="1" t="s">
        <v>179</v>
      </c>
      <c r="E421" s="1" t="s">
        <v>40</v>
      </c>
      <c r="F421" s="1" t="s">
        <v>35</v>
      </c>
      <c r="G421" s="1">
        <v>4</v>
      </c>
      <c r="H421" s="1" t="s">
        <v>92</v>
      </c>
      <c r="I421" s="1" t="s">
        <v>21</v>
      </c>
      <c r="J421" s="1">
        <v>1</v>
      </c>
      <c r="K421" s="1">
        <v>34.83</v>
      </c>
      <c r="L421" s="1">
        <v>15</v>
      </c>
      <c r="M421" s="16">
        <f t="shared" si="6"/>
        <v>29.605499999999999</v>
      </c>
      <c r="N421" s="1">
        <v>0</v>
      </c>
    </row>
    <row r="422" spans="1:14">
      <c r="A422" s="2">
        <v>46066</v>
      </c>
      <c r="B422" s="1">
        <v>1483</v>
      </c>
      <c r="C422" s="1">
        <v>56</v>
      </c>
      <c r="D422" s="1" t="s">
        <v>179</v>
      </c>
      <c r="E422" s="1" t="s">
        <v>40</v>
      </c>
      <c r="F422" s="1" t="s">
        <v>35</v>
      </c>
      <c r="G422" s="1">
        <v>9</v>
      </c>
      <c r="H422" s="1" t="s">
        <v>69</v>
      </c>
      <c r="I422" s="1" t="s">
        <v>33</v>
      </c>
      <c r="J422" s="1">
        <v>2</v>
      </c>
      <c r="K422" s="1">
        <v>20.69</v>
      </c>
      <c r="L422" s="1">
        <v>0</v>
      </c>
      <c r="M422" s="16">
        <f t="shared" si="6"/>
        <v>41.38</v>
      </c>
      <c r="N422" s="1">
        <v>0</v>
      </c>
    </row>
    <row r="423" spans="1:14">
      <c r="A423" s="2">
        <v>46066</v>
      </c>
      <c r="B423" s="1">
        <v>1483</v>
      </c>
      <c r="C423" s="1">
        <v>56</v>
      </c>
      <c r="D423" s="1" t="s">
        <v>179</v>
      </c>
      <c r="E423" s="1" t="s">
        <v>40</v>
      </c>
      <c r="F423" s="1" t="s">
        <v>35</v>
      </c>
      <c r="G423" s="1">
        <v>14</v>
      </c>
      <c r="H423" s="1" t="s">
        <v>105</v>
      </c>
      <c r="I423" s="1" t="s">
        <v>33</v>
      </c>
      <c r="J423" s="1">
        <v>1</v>
      </c>
      <c r="K423" s="1">
        <v>15.36</v>
      </c>
      <c r="L423" s="1">
        <v>0</v>
      </c>
      <c r="M423" s="16">
        <f t="shared" si="6"/>
        <v>15.36</v>
      </c>
      <c r="N423" s="1">
        <v>0</v>
      </c>
    </row>
    <row r="424" spans="1:14">
      <c r="A424" s="2">
        <v>46066</v>
      </c>
      <c r="B424" s="1">
        <v>1483</v>
      </c>
      <c r="C424" s="1">
        <v>56</v>
      </c>
      <c r="D424" s="1" t="s">
        <v>179</v>
      </c>
      <c r="E424" s="1" t="s">
        <v>40</v>
      </c>
      <c r="F424" s="1" t="s">
        <v>35</v>
      </c>
      <c r="G424" s="1">
        <v>37</v>
      </c>
      <c r="H424" s="1" t="s">
        <v>26</v>
      </c>
      <c r="I424" s="1" t="s">
        <v>27</v>
      </c>
      <c r="J424" s="1">
        <v>1</v>
      </c>
      <c r="K424" s="1">
        <v>52.67</v>
      </c>
      <c r="L424" s="1">
        <v>0</v>
      </c>
      <c r="M424" s="16">
        <f t="shared" si="6"/>
        <v>52.67</v>
      </c>
      <c r="N424" s="1">
        <v>0</v>
      </c>
    </row>
    <row r="425" spans="1:14">
      <c r="A425" s="2">
        <v>46066</v>
      </c>
      <c r="B425" s="1">
        <v>1483</v>
      </c>
      <c r="C425" s="1">
        <v>56</v>
      </c>
      <c r="D425" s="1" t="s">
        <v>179</v>
      </c>
      <c r="E425" s="1" t="s">
        <v>181</v>
      </c>
      <c r="F425" s="1" t="s">
        <v>35</v>
      </c>
      <c r="G425" s="1">
        <v>20</v>
      </c>
      <c r="H425" s="1" t="s">
        <v>16</v>
      </c>
      <c r="I425" s="1" t="s">
        <v>17</v>
      </c>
      <c r="J425" s="1">
        <v>1</v>
      </c>
      <c r="K425" s="1">
        <v>32.76</v>
      </c>
      <c r="L425" s="1">
        <v>0</v>
      </c>
      <c r="M425" s="16">
        <f t="shared" si="6"/>
        <v>32.76</v>
      </c>
      <c r="N425" s="1">
        <v>0</v>
      </c>
    </row>
    <row r="426" spans="1:14">
      <c r="A426" s="2">
        <v>45911</v>
      </c>
      <c r="B426" s="1">
        <v>1098</v>
      </c>
      <c r="C426" s="1">
        <v>57</v>
      </c>
      <c r="D426" s="1" t="s">
        <v>118</v>
      </c>
      <c r="E426" s="1" t="s">
        <v>68</v>
      </c>
      <c r="F426" s="1" t="s">
        <v>19</v>
      </c>
      <c r="G426" s="1">
        <v>15</v>
      </c>
      <c r="H426" s="1" t="s">
        <v>48</v>
      </c>
      <c r="I426" s="1" t="s">
        <v>33</v>
      </c>
      <c r="J426" s="1">
        <v>1</v>
      </c>
      <c r="K426" s="1">
        <v>47.71</v>
      </c>
      <c r="L426" s="1">
        <v>0</v>
      </c>
      <c r="M426" s="16">
        <f t="shared" si="6"/>
        <v>47.71</v>
      </c>
      <c r="N426" s="1">
        <v>0</v>
      </c>
    </row>
    <row r="427" spans="1:14">
      <c r="A427" s="2">
        <v>45911</v>
      </c>
      <c r="B427" s="1">
        <v>1098</v>
      </c>
      <c r="C427" s="1">
        <v>57</v>
      </c>
      <c r="D427" s="1" t="s">
        <v>118</v>
      </c>
      <c r="E427" s="1" t="s">
        <v>68</v>
      </c>
      <c r="F427" s="1" t="s">
        <v>19</v>
      </c>
      <c r="G427" s="1">
        <v>15</v>
      </c>
      <c r="H427" s="1" t="s">
        <v>48</v>
      </c>
      <c r="I427" s="1" t="s">
        <v>33</v>
      </c>
      <c r="J427" s="1">
        <v>1</v>
      </c>
      <c r="K427" s="1">
        <v>47.71</v>
      </c>
      <c r="L427" s="1">
        <v>0</v>
      </c>
      <c r="M427" s="16">
        <f t="shared" si="6"/>
        <v>47.71</v>
      </c>
      <c r="N427" s="1">
        <v>0</v>
      </c>
    </row>
    <row r="428" spans="1:14">
      <c r="A428" s="2">
        <v>46006</v>
      </c>
      <c r="B428" s="1">
        <v>1282</v>
      </c>
      <c r="C428" s="1">
        <v>58</v>
      </c>
      <c r="D428" s="1" t="s">
        <v>164</v>
      </c>
      <c r="E428" s="1" t="s">
        <v>68</v>
      </c>
      <c r="F428" s="1" t="s">
        <v>35</v>
      </c>
      <c r="G428" s="1">
        <v>27</v>
      </c>
      <c r="H428" s="1" t="s">
        <v>89</v>
      </c>
      <c r="I428" s="1" t="s">
        <v>37</v>
      </c>
      <c r="J428" s="1">
        <v>1</v>
      </c>
      <c r="K428" s="1">
        <v>27.3</v>
      </c>
      <c r="L428" s="1">
        <v>0</v>
      </c>
      <c r="M428" s="16">
        <f t="shared" si="6"/>
        <v>27.3</v>
      </c>
      <c r="N428" s="1">
        <v>0</v>
      </c>
    </row>
    <row r="429" spans="1:14">
      <c r="A429" s="2">
        <v>46006</v>
      </c>
      <c r="B429" s="1">
        <v>1282</v>
      </c>
      <c r="C429" s="1">
        <v>58</v>
      </c>
      <c r="D429" s="1" t="s">
        <v>164</v>
      </c>
      <c r="E429" s="1" t="s">
        <v>68</v>
      </c>
      <c r="F429" s="1" t="s">
        <v>35</v>
      </c>
      <c r="G429" s="1">
        <v>20</v>
      </c>
      <c r="H429" s="1" t="s">
        <v>16</v>
      </c>
      <c r="I429" s="1" t="s">
        <v>17</v>
      </c>
      <c r="J429" s="1">
        <v>1</v>
      </c>
      <c r="K429" s="1">
        <v>32.76</v>
      </c>
      <c r="L429" s="1">
        <v>0</v>
      </c>
      <c r="M429" s="16">
        <f t="shared" si="6"/>
        <v>32.76</v>
      </c>
      <c r="N429" s="1">
        <v>0</v>
      </c>
    </row>
    <row r="430" spans="1:14">
      <c r="A430" s="2">
        <v>46006</v>
      </c>
      <c r="B430" s="1">
        <v>1282</v>
      </c>
      <c r="C430" s="1">
        <v>58</v>
      </c>
      <c r="D430" s="1" t="s">
        <v>164</v>
      </c>
      <c r="E430" s="1" t="s">
        <v>68</v>
      </c>
      <c r="F430" s="1" t="s">
        <v>35</v>
      </c>
      <c r="G430" s="1">
        <v>26</v>
      </c>
      <c r="H430" s="1" t="s">
        <v>83</v>
      </c>
      <c r="I430" s="1" t="s">
        <v>37</v>
      </c>
      <c r="J430" s="1">
        <v>1</v>
      </c>
      <c r="K430" s="1">
        <v>31.76</v>
      </c>
      <c r="L430" s="1">
        <v>0</v>
      </c>
      <c r="M430" s="16">
        <f t="shared" si="6"/>
        <v>31.76</v>
      </c>
      <c r="N430" s="1">
        <v>0</v>
      </c>
    </row>
    <row r="431" spans="1:14">
      <c r="A431" s="2">
        <v>46297</v>
      </c>
      <c r="B431" s="1">
        <v>1470</v>
      </c>
      <c r="C431" s="1">
        <v>58</v>
      </c>
      <c r="D431" s="1" t="s">
        <v>164</v>
      </c>
      <c r="E431" s="1" t="s">
        <v>68</v>
      </c>
      <c r="F431" s="1" t="s">
        <v>35</v>
      </c>
      <c r="G431" s="1">
        <v>24</v>
      </c>
      <c r="H431" s="1" t="s">
        <v>44</v>
      </c>
      <c r="I431" s="1" t="s">
        <v>37</v>
      </c>
      <c r="J431" s="1">
        <v>1</v>
      </c>
      <c r="K431" s="1">
        <v>43.42</v>
      </c>
      <c r="L431" s="1">
        <v>0</v>
      </c>
      <c r="M431" s="16">
        <f t="shared" si="6"/>
        <v>43.42</v>
      </c>
      <c r="N431" s="1">
        <v>0</v>
      </c>
    </row>
    <row r="432" spans="1:14">
      <c r="A432" s="2">
        <v>46297</v>
      </c>
      <c r="B432" s="1">
        <v>1470</v>
      </c>
      <c r="C432" s="1">
        <v>58</v>
      </c>
      <c r="D432" s="1" t="s">
        <v>164</v>
      </c>
      <c r="E432" s="1" t="s">
        <v>68</v>
      </c>
      <c r="F432" s="1" t="s">
        <v>35</v>
      </c>
      <c r="G432" s="1">
        <v>29</v>
      </c>
      <c r="H432" s="1" t="s">
        <v>96</v>
      </c>
      <c r="I432" s="1" t="s">
        <v>31</v>
      </c>
      <c r="J432" s="1">
        <v>1</v>
      </c>
      <c r="K432" s="1">
        <v>45.67</v>
      </c>
      <c r="L432" s="1">
        <v>0</v>
      </c>
      <c r="M432" s="16">
        <f t="shared" si="6"/>
        <v>45.67</v>
      </c>
      <c r="N432" s="1">
        <v>0</v>
      </c>
    </row>
    <row r="433" spans="1:14">
      <c r="A433" s="2">
        <v>45951</v>
      </c>
      <c r="B433" s="1">
        <v>1039</v>
      </c>
      <c r="C433" s="1">
        <v>59</v>
      </c>
      <c r="D433" s="1" t="s">
        <v>93</v>
      </c>
      <c r="E433" s="1" t="s">
        <v>14</v>
      </c>
      <c r="F433" s="1" t="s">
        <v>35</v>
      </c>
      <c r="G433" s="1">
        <v>5</v>
      </c>
      <c r="H433" s="1" t="s">
        <v>38</v>
      </c>
      <c r="I433" s="1" t="s">
        <v>21</v>
      </c>
      <c r="J433" s="1">
        <v>2</v>
      </c>
      <c r="K433" s="1">
        <v>42.53</v>
      </c>
      <c r="L433" s="1">
        <v>5</v>
      </c>
      <c r="M433" s="16">
        <f t="shared" si="6"/>
        <v>80.807000000000002</v>
      </c>
      <c r="N433" s="1">
        <v>0</v>
      </c>
    </row>
    <row r="434" spans="1:14">
      <c r="A434" s="2">
        <v>45668</v>
      </c>
      <c r="B434" s="1">
        <v>1067</v>
      </c>
      <c r="C434" s="1">
        <v>59</v>
      </c>
      <c r="D434" s="1" t="s">
        <v>93</v>
      </c>
      <c r="E434" s="1" t="s">
        <v>14</v>
      </c>
      <c r="F434" s="1" t="s">
        <v>35</v>
      </c>
      <c r="G434" s="1">
        <v>36</v>
      </c>
      <c r="H434" s="1" t="s">
        <v>62</v>
      </c>
      <c r="I434" s="1" t="s">
        <v>27</v>
      </c>
      <c r="J434" s="1">
        <v>2</v>
      </c>
      <c r="K434" s="1">
        <v>23.23</v>
      </c>
      <c r="L434" s="1">
        <v>0</v>
      </c>
      <c r="M434" s="16">
        <f t="shared" si="6"/>
        <v>46.46</v>
      </c>
      <c r="N434" s="1">
        <v>0</v>
      </c>
    </row>
    <row r="435" spans="1:14">
      <c r="A435" s="2">
        <v>45668</v>
      </c>
      <c r="B435" s="1">
        <v>1067</v>
      </c>
      <c r="C435" s="1">
        <v>59</v>
      </c>
      <c r="D435" s="1" t="s">
        <v>93</v>
      </c>
      <c r="E435" s="1" t="s">
        <v>14</v>
      </c>
      <c r="F435" s="1" t="s">
        <v>35</v>
      </c>
      <c r="G435" s="1">
        <v>4</v>
      </c>
      <c r="H435" s="1" t="s">
        <v>92</v>
      </c>
      <c r="I435" s="1" t="s">
        <v>21</v>
      </c>
      <c r="J435" s="1">
        <v>1</v>
      </c>
      <c r="K435" s="1">
        <v>34.83</v>
      </c>
      <c r="L435" s="1">
        <v>0</v>
      </c>
      <c r="M435" s="16">
        <f t="shared" si="6"/>
        <v>34.83</v>
      </c>
      <c r="N435" s="1">
        <v>0</v>
      </c>
    </row>
    <row r="436" spans="1:14">
      <c r="A436" s="2">
        <v>45668</v>
      </c>
      <c r="B436" s="1">
        <v>1067</v>
      </c>
      <c r="C436" s="1">
        <v>59</v>
      </c>
      <c r="D436" s="1" t="s">
        <v>93</v>
      </c>
      <c r="E436" s="1" t="s">
        <v>14</v>
      </c>
      <c r="F436" s="1" t="s">
        <v>35</v>
      </c>
      <c r="G436" s="1">
        <v>28</v>
      </c>
      <c r="H436" s="1" t="s">
        <v>51</v>
      </c>
      <c r="I436" s="1" t="s">
        <v>37</v>
      </c>
      <c r="J436" s="1">
        <v>1</v>
      </c>
      <c r="K436" s="1">
        <v>21.24</v>
      </c>
      <c r="L436" s="1">
        <v>0</v>
      </c>
      <c r="M436" s="16">
        <f t="shared" si="6"/>
        <v>21.24</v>
      </c>
      <c r="N436" s="1">
        <v>0</v>
      </c>
    </row>
    <row r="437" spans="1:14">
      <c r="A437" s="2">
        <v>45849</v>
      </c>
      <c r="B437" s="1">
        <v>1088</v>
      </c>
      <c r="C437" s="1">
        <v>59</v>
      </c>
      <c r="D437" s="1" t="s">
        <v>93</v>
      </c>
      <c r="E437" s="1" t="s">
        <v>14</v>
      </c>
      <c r="F437" s="1" t="s">
        <v>35</v>
      </c>
      <c r="G437" s="1">
        <v>4</v>
      </c>
      <c r="H437" s="1" t="s">
        <v>92</v>
      </c>
      <c r="I437" s="1" t="s">
        <v>21</v>
      </c>
      <c r="J437" s="1">
        <v>1</v>
      </c>
      <c r="K437" s="1">
        <v>34.83</v>
      </c>
      <c r="L437" s="1">
        <v>0</v>
      </c>
      <c r="M437" s="16">
        <f t="shared" si="6"/>
        <v>34.83</v>
      </c>
      <c r="N437" s="1">
        <v>0</v>
      </c>
    </row>
    <row r="438" spans="1:14">
      <c r="A438" s="2">
        <v>45880</v>
      </c>
      <c r="B438" s="1">
        <v>1091</v>
      </c>
      <c r="C438" s="1">
        <v>59</v>
      </c>
      <c r="D438" s="1" t="s">
        <v>93</v>
      </c>
      <c r="E438" s="1" t="s">
        <v>14</v>
      </c>
      <c r="F438" s="1" t="s">
        <v>35</v>
      </c>
      <c r="G438" s="1">
        <v>31</v>
      </c>
      <c r="H438" s="1" t="s">
        <v>30</v>
      </c>
      <c r="I438" s="1" t="s">
        <v>31</v>
      </c>
      <c r="J438" s="1">
        <v>1</v>
      </c>
      <c r="K438" s="1">
        <v>57.51</v>
      </c>
      <c r="L438" s="1">
        <v>0</v>
      </c>
      <c r="M438" s="16">
        <f t="shared" si="6"/>
        <v>57.51</v>
      </c>
      <c r="N438" s="1">
        <v>0</v>
      </c>
    </row>
    <row r="439" spans="1:14">
      <c r="A439" s="2">
        <v>45976</v>
      </c>
      <c r="B439" s="1">
        <v>1131</v>
      </c>
      <c r="C439" s="1">
        <v>59</v>
      </c>
      <c r="D439" s="1" t="s">
        <v>93</v>
      </c>
      <c r="E439" s="1" t="s">
        <v>14</v>
      </c>
      <c r="F439" s="1" t="s">
        <v>35</v>
      </c>
      <c r="G439" s="1">
        <v>18</v>
      </c>
      <c r="H439" s="1" t="s">
        <v>23</v>
      </c>
      <c r="I439" s="1" t="s">
        <v>17</v>
      </c>
      <c r="J439" s="1">
        <v>1</v>
      </c>
      <c r="K439" s="1">
        <v>44.01</v>
      </c>
      <c r="L439" s="1">
        <v>5</v>
      </c>
      <c r="M439" s="16">
        <f t="shared" si="6"/>
        <v>41.809499999999993</v>
      </c>
      <c r="N439" s="1">
        <v>0</v>
      </c>
    </row>
    <row r="440" spans="1:14">
      <c r="A440" s="2">
        <v>45988</v>
      </c>
      <c r="B440" s="1">
        <v>1186</v>
      </c>
      <c r="C440" s="1">
        <v>59</v>
      </c>
      <c r="D440" s="1" t="s">
        <v>93</v>
      </c>
      <c r="E440" s="1" t="s">
        <v>14</v>
      </c>
      <c r="F440" s="1" t="s">
        <v>35</v>
      </c>
      <c r="G440" s="1">
        <v>4</v>
      </c>
      <c r="H440" s="1" t="s">
        <v>92</v>
      </c>
      <c r="I440" s="1" t="s">
        <v>21</v>
      </c>
      <c r="J440" s="1">
        <v>1</v>
      </c>
      <c r="K440" s="1">
        <v>34.83</v>
      </c>
      <c r="L440" s="1">
        <v>5</v>
      </c>
      <c r="M440" s="16">
        <f t="shared" si="6"/>
        <v>33.088499999999996</v>
      </c>
      <c r="N440" s="1">
        <v>0</v>
      </c>
    </row>
    <row r="441" spans="1:14">
      <c r="A441" s="2">
        <v>45988</v>
      </c>
      <c r="B441" s="1">
        <v>1186</v>
      </c>
      <c r="C441" s="1">
        <v>59</v>
      </c>
      <c r="D441" s="1" t="s">
        <v>93</v>
      </c>
      <c r="E441" s="1" t="s">
        <v>14</v>
      </c>
      <c r="F441" s="1" t="s">
        <v>35</v>
      </c>
      <c r="G441" s="1">
        <v>35</v>
      </c>
      <c r="H441" s="1" t="s">
        <v>104</v>
      </c>
      <c r="I441" s="1" t="s">
        <v>27</v>
      </c>
      <c r="J441" s="1">
        <v>1</v>
      </c>
      <c r="K441" s="1">
        <v>11.3</v>
      </c>
      <c r="L441" s="1">
        <v>5</v>
      </c>
      <c r="M441" s="16">
        <f t="shared" si="6"/>
        <v>10.734999999999999</v>
      </c>
      <c r="N441" s="1">
        <v>0</v>
      </c>
    </row>
    <row r="442" spans="1:14">
      <c r="A442" s="2">
        <v>45991</v>
      </c>
      <c r="B442" s="1">
        <v>1202</v>
      </c>
      <c r="C442" s="1">
        <v>59</v>
      </c>
      <c r="D442" s="1" t="s">
        <v>93</v>
      </c>
      <c r="E442" s="1" t="s">
        <v>14</v>
      </c>
      <c r="F442" s="1" t="s">
        <v>35</v>
      </c>
      <c r="G442" s="1">
        <v>3</v>
      </c>
      <c r="H442" s="1" t="s">
        <v>59</v>
      </c>
      <c r="I442" s="1" t="s">
        <v>21</v>
      </c>
      <c r="J442" s="1">
        <v>1</v>
      </c>
      <c r="K442" s="1">
        <v>25.47</v>
      </c>
      <c r="L442" s="1">
        <v>0</v>
      </c>
      <c r="M442" s="16">
        <f t="shared" si="6"/>
        <v>25.47</v>
      </c>
      <c r="N442" s="1">
        <v>0</v>
      </c>
    </row>
    <row r="443" spans="1:14">
      <c r="A443" s="2">
        <v>46003</v>
      </c>
      <c r="B443" s="1">
        <v>1265</v>
      </c>
      <c r="C443" s="1">
        <v>59</v>
      </c>
      <c r="D443" s="1" t="s">
        <v>93</v>
      </c>
      <c r="E443" s="1" t="s">
        <v>14</v>
      </c>
      <c r="F443" s="1" t="s">
        <v>35</v>
      </c>
      <c r="G443" s="1">
        <v>35</v>
      </c>
      <c r="H443" s="1" t="s">
        <v>104</v>
      </c>
      <c r="I443" s="1" t="s">
        <v>27</v>
      </c>
      <c r="J443" s="1">
        <v>1</v>
      </c>
      <c r="K443" s="1">
        <v>11.3</v>
      </c>
      <c r="L443" s="1">
        <v>5</v>
      </c>
      <c r="M443" s="16">
        <f t="shared" si="6"/>
        <v>10.734999999999999</v>
      </c>
      <c r="N443" s="1">
        <v>1</v>
      </c>
    </row>
    <row r="444" spans="1:14">
      <c r="A444" s="2">
        <v>46003</v>
      </c>
      <c r="B444" s="1">
        <v>1265</v>
      </c>
      <c r="C444" s="1">
        <v>59</v>
      </c>
      <c r="D444" s="1" t="s">
        <v>93</v>
      </c>
      <c r="E444" s="1" t="s">
        <v>14</v>
      </c>
      <c r="F444" s="1" t="s">
        <v>35</v>
      </c>
      <c r="G444" s="1">
        <v>3</v>
      </c>
      <c r="H444" s="1" t="s">
        <v>59</v>
      </c>
      <c r="I444" s="1" t="s">
        <v>21</v>
      </c>
      <c r="J444" s="1">
        <v>1</v>
      </c>
      <c r="K444" s="1">
        <v>25.47</v>
      </c>
      <c r="L444" s="1">
        <v>5</v>
      </c>
      <c r="M444" s="16">
        <f t="shared" si="6"/>
        <v>24.196499999999997</v>
      </c>
      <c r="N444" s="1">
        <v>0</v>
      </c>
    </row>
    <row r="445" spans="1:14">
      <c r="A445" s="2">
        <v>46005</v>
      </c>
      <c r="B445" s="1">
        <v>1277</v>
      </c>
      <c r="C445" s="1">
        <v>59</v>
      </c>
      <c r="D445" s="1" t="s">
        <v>93</v>
      </c>
      <c r="E445" s="1" t="s">
        <v>14</v>
      </c>
      <c r="F445" s="1" t="s">
        <v>35</v>
      </c>
      <c r="G445" s="1">
        <v>30</v>
      </c>
      <c r="H445" s="1" t="s">
        <v>57</v>
      </c>
      <c r="I445" s="1" t="s">
        <v>31</v>
      </c>
      <c r="J445" s="1">
        <v>1</v>
      </c>
      <c r="K445" s="1">
        <v>38.869999999999997</v>
      </c>
      <c r="L445" s="1">
        <v>10</v>
      </c>
      <c r="M445" s="16">
        <f t="shared" si="6"/>
        <v>34.982999999999997</v>
      </c>
      <c r="N445" s="1">
        <v>1</v>
      </c>
    </row>
    <row r="446" spans="1:14">
      <c r="A446" s="2">
        <v>46014</v>
      </c>
      <c r="B446" s="1">
        <v>1044</v>
      </c>
      <c r="C446" s="1">
        <v>59</v>
      </c>
      <c r="D446" s="1" t="s">
        <v>93</v>
      </c>
      <c r="E446" s="1" t="s">
        <v>14</v>
      </c>
      <c r="F446" s="1" t="s">
        <v>35</v>
      </c>
      <c r="G446" s="1">
        <v>33</v>
      </c>
      <c r="H446" s="1" t="s">
        <v>42</v>
      </c>
      <c r="I446" s="1" t="s">
        <v>31</v>
      </c>
      <c r="J446" s="1">
        <v>1</v>
      </c>
      <c r="K446" s="1">
        <v>40.94</v>
      </c>
      <c r="L446" s="1">
        <v>15</v>
      </c>
      <c r="M446" s="16">
        <f t="shared" si="6"/>
        <v>34.798999999999999</v>
      </c>
      <c r="N446" s="1">
        <v>0</v>
      </c>
    </row>
    <row r="447" spans="1:14">
      <c r="A447" s="2">
        <v>46205</v>
      </c>
      <c r="B447" s="1">
        <v>1460</v>
      </c>
      <c r="C447" s="1">
        <v>59</v>
      </c>
      <c r="D447" s="1" t="s">
        <v>93</v>
      </c>
      <c r="E447" s="1" t="s">
        <v>14</v>
      </c>
      <c r="F447" s="1" t="s">
        <v>35</v>
      </c>
      <c r="G447" s="1">
        <v>12</v>
      </c>
      <c r="H447" s="1" t="s">
        <v>215</v>
      </c>
      <c r="I447" s="1" t="s">
        <v>33</v>
      </c>
      <c r="J447" s="1">
        <v>2</v>
      </c>
      <c r="K447" s="1">
        <v>8.4499999999999993</v>
      </c>
      <c r="L447" s="1">
        <v>0</v>
      </c>
      <c r="M447" s="16">
        <f t="shared" si="6"/>
        <v>16.899999999999999</v>
      </c>
      <c r="N447" s="1">
        <v>0</v>
      </c>
    </row>
    <row r="448" spans="1:14">
      <c r="A448" s="2">
        <v>46205</v>
      </c>
      <c r="B448" s="1">
        <v>1460</v>
      </c>
      <c r="C448" s="1">
        <v>59</v>
      </c>
      <c r="D448" s="1" t="s">
        <v>93</v>
      </c>
      <c r="E448" s="1" t="s">
        <v>14</v>
      </c>
      <c r="F448" s="1" t="s">
        <v>35</v>
      </c>
      <c r="G448" s="1">
        <v>34</v>
      </c>
      <c r="H448" s="1" t="s">
        <v>130</v>
      </c>
      <c r="I448" s="1" t="s">
        <v>31</v>
      </c>
      <c r="J448" s="1">
        <v>1</v>
      </c>
      <c r="K448" s="1">
        <v>58.26</v>
      </c>
      <c r="L448" s="1">
        <v>0</v>
      </c>
      <c r="M448" s="16">
        <f t="shared" si="6"/>
        <v>58.26</v>
      </c>
      <c r="N448" s="1">
        <v>0</v>
      </c>
    </row>
    <row r="449" spans="1:14">
      <c r="A449" s="2">
        <v>46205</v>
      </c>
      <c r="B449" s="1">
        <v>1460</v>
      </c>
      <c r="C449" s="1">
        <v>59</v>
      </c>
      <c r="D449" s="1" t="s">
        <v>93</v>
      </c>
      <c r="E449" s="1" t="s">
        <v>14</v>
      </c>
      <c r="F449" s="1" t="s">
        <v>35</v>
      </c>
      <c r="G449" s="1">
        <v>18</v>
      </c>
      <c r="H449" s="1" t="s">
        <v>23</v>
      </c>
      <c r="I449" s="1" t="s">
        <v>17</v>
      </c>
      <c r="J449" s="1">
        <v>2</v>
      </c>
      <c r="K449" s="1">
        <v>44.01</v>
      </c>
      <c r="L449" s="1">
        <v>0</v>
      </c>
      <c r="M449" s="16">
        <f t="shared" si="6"/>
        <v>88.02</v>
      </c>
      <c r="N449" s="1">
        <v>0</v>
      </c>
    </row>
    <row r="450" spans="1:14">
      <c r="A450" s="2">
        <v>46358</v>
      </c>
      <c r="B450" s="1">
        <v>1479</v>
      </c>
      <c r="C450" s="1">
        <v>59</v>
      </c>
      <c r="D450" s="1" t="s">
        <v>93</v>
      </c>
      <c r="E450" s="1" t="s">
        <v>14</v>
      </c>
      <c r="F450" s="1" t="s">
        <v>35</v>
      </c>
      <c r="G450" s="1">
        <v>28</v>
      </c>
      <c r="H450" s="1" t="s">
        <v>51</v>
      </c>
      <c r="I450" s="1" t="s">
        <v>37</v>
      </c>
      <c r="J450" s="1">
        <v>1</v>
      </c>
      <c r="K450" s="1">
        <v>21.24</v>
      </c>
      <c r="L450" s="1">
        <v>15</v>
      </c>
      <c r="M450" s="16">
        <f t="shared" si="6"/>
        <v>18.053999999999998</v>
      </c>
      <c r="N450" s="1">
        <v>0</v>
      </c>
    </row>
    <row r="451" spans="1:14">
      <c r="A451" s="2">
        <v>46065</v>
      </c>
      <c r="B451" s="1">
        <v>1479</v>
      </c>
      <c r="C451" s="1">
        <v>59</v>
      </c>
      <c r="D451" s="1" t="s">
        <v>93</v>
      </c>
      <c r="E451" s="1" t="s">
        <v>14</v>
      </c>
      <c r="F451" s="1" t="s">
        <v>35</v>
      </c>
      <c r="G451" s="1">
        <v>6</v>
      </c>
      <c r="H451" s="1" t="s">
        <v>99</v>
      </c>
      <c r="I451" s="1" t="s">
        <v>21</v>
      </c>
      <c r="J451" s="1">
        <v>1</v>
      </c>
      <c r="K451" s="1">
        <v>70.47</v>
      </c>
      <c r="L451" s="1">
        <v>10</v>
      </c>
      <c r="M451" s="16">
        <f t="shared" ref="M451:M514" si="7">J451*K451*(1-L451/100)</f>
        <v>63.423000000000002</v>
      </c>
      <c r="N451" s="1">
        <v>0</v>
      </c>
    </row>
    <row r="452" spans="1:14">
      <c r="A452" s="2">
        <v>46070</v>
      </c>
      <c r="B452" s="1">
        <v>1495</v>
      </c>
      <c r="C452" s="1">
        <v>59</v>
      </c>
      <c r="D452" s="1" t="s">
        <v>93</v>
      </c>
      <c r="E452" s="1" t="s">
        <v>14</v>
      </c>
      <c r="F452" s="1" t="s">
        <v>35</v>
      </c>
      <c r="G452" s="1">
        <v>26</v>
      </c>
      <c r="H452" s="1" t="s">
        <v>83</v>
      </c>
      <c r="I452" s="1" t="s">
        <v>37</v>
      </c>
      <c r="J452" s="1">
        <v>2</v>
      </c>
      <c r="K452" s="1">
        <v>31.76</v>
      </c>
      <c r="L452" s="1">
        <v>0</v>
      </c>
      <c r="M452" s="16">
        <f t="shared" si="7"/>
        <v>63.52</v>
      </c>
      <c r="N452" s="1">
        <v>0</v>
      </c>
    </row>
    <row r="453" spans="1:14">
      <c r="A453" s="2">
        <v>46070</v>
      </c>
      <c r="B453" s="1">
        <v>1495</v>
      </c>
      <c r="C453" s="1">
        <v>59</v>
      </c>
      <c r="D453" s="1" t="s">
        <v>93</v>
      </c>
      <c r="E453" s="1" t="s">
        <v>14</v>
      </c>
      <c r="F453" s="1" t="s">
        <v>35</v>
      </c>
      <c r="G453" s="1">
        <v>38</v>
      </c>
      <c r="H453" s="1" t="s">
        <v>70</v>
      </c>
      <c r="I453" s="1" t="s">
        <v>27</v>
      </c>
      <c r="J453" s="1">
        <v>1</v>
      </c>
      <c r="K453" s="1">
        <v>25.14</v>
      </c>
      <c r="L453" s="1">
        <v>10</v>
      </c>
      <c r="M453" s="16">
        <f t="shared" si="7"/>
        <v>22.626000000000001</v>
      </c>
      <c r="N453" s="1">
        <v>0</v>
      </c>
    </row>
    <row r="454" spans="1:14">
      <c r="A454" s="2">
        <v>46071</v>
      </c>
      <c r="B454" s="1">
        <v>1497</v>
      </c>
      <c r="C454" s="1">
        <v>59</v>
      </c>
      <c r="D454" s="1" t="s">
        <v>93</v>
      </c>
      <c r="E454" s="1" t="s">
        <v>14</v>
      </c>
      <c r="F454" s="1" t="s">
        <v>35</v>
      </c>
      <c r="G454" s="1">
        <v>23</v>
      </c>
      <c r="H454" s="1" t="s">
        <v>98</v>
      </c>
      <c r="I454" s="1" t="s">
        <v>37</v>
      </c>
      <c r="J454" s="1">
        <v>2</v>
      </c>
      <c r="K454" s="1">
        <v>38.14</v>
      </c>
      <c r="L454" s="1">
        <v>25</v>
      </c>
      <c r="M454" s="16">
        <f t="shared" si="7"/>
        <v>57.21</v>
      </c>
      <c r="N454" s="1">
        <v>1</v>
      </c>
    </row>
    <row r="455" spans="1:14">
      <c r="A455" s="2">
        <v>46076</v>
      </c>
      <c r="B455" s="1">
        <v>1523</v>
      </c>
      <c r="C455" s="1">
        <v>59</v>
      </c>
      <c r="D455" s="1" t="s">
        <v>93</v>
      </c>
      <c r="E455" s="1" t="s">
        <v>122</v>
      </c>
      <c r="F455" s="1" t="s">
        <v>35</v>
      </c>
      <c r="G455" s="1">
        <v>34</v>
      </c>
      <c r="H455" s="1" t="s">
        <v>130</v>
      </c>
      <c r="I455" s="1" t="s">
        <v>31</v>
      </c>
      <c r="J455" s="1">
        <v>2</v>
      </c>
      <c r="K455" s="1">
        <v>58.26</v>
      </c>
      <c r="L455" s="1">
        <v>0</v>
      </c>
      <c r="M455" s="16">
        <f t="shared" si="7"/>
        <v>116.52</v>
      </c>
      <c r="N455" s="1">
        <v>0</v>
      </c>
    </row>
    <row r="456" spans="1:14">
      <c r="A456" s="2">
        <v>45940</v>
      </c>
      <c r="B456" s="1">
        <v>1002</v>
      </c>
      <c r="C456" s="1">
        <v>60</v>
      </c>
      <c r="D456" s="1" t="s">
        <v>18</v>
      </c>
      <c r="E456" s="1" t="s">
        <v>14</v>
      </c>
      <c r="F456" s="1" t="s">
        <v>19</v>
      </c>
      <c r="G456" s="1">
        <v>1</v>
      </c>
      <c r="H456" s="1" t="s">
        <v>20</v>
      </c>
      <c r="I456" s="1" t="s">
        <v>21</v>
      </c>
      <c r="J456" s="1">
        <v>1</v>
      </c>
      <c r="K456" s="1">
        <v>47.45</v>
      </c>
      <c r="L456" s="1">
        <v>10</v>
      </c>
      <c r="M456" s="16">
        <f t="shared" si="7"/>
        <v>42.705000000000005</v>
      </c>
      <c r="N456" s="1">
        <v>0</v>
      </c>
    </row>
    <row r="457" spans="1:14">
      <c r="A457" s="2">
        <v>45668</v>
      </c>
      <c r="B457" s="1">
        <v>1044</v>
      </c>
      <c r="C457" s="1">
        <v>60</v>
      </c>
      <c r="D457" s="1" t="s">
        <v>18</v>
      </c>
      <c r="E457" s="1" t="s">
        <v>14</v>
      </c>
      <c r="F457" s="1" t="s">
        <v>19</v>
      </c>
      <c r="G457" s="1">
        <v>21</v>
      </c>
      <c r="H457" s="1" t="s">
        <v>97</v>
      </c>
      <c r="I457" s="1" t="s">
        <v>17</v>
      </c>
      <c r="J457" s="1">
        <v>2</v>
      </c>
      <c r="K457" s="1">
        <v>49.37</v>
      </c>
      <c r="L457" s="1">
        <v>5</v>
      </c>
      <c r="M457" s="16">
        <f t="shared" si="7"/>
        <v>93.802999999999997</v>
      </c>
      <c r="N457" s="1">
        <v>0</v>
      </c>
    </row>
    <row r="458" spans="1:14">
      <c r="A458" s="2">
        <v>45973</v>
      </c>
      <c r="B458" s="1">
        <v>1256</v>
      </c>
      <c r="C458" s="1">
        <v>60</v>
      </c>
      <c r="D458" s="1" t="s">
        <v>18</v>
      </c>
      <c r="E458" s="1" t="s">
        <v>14</v>
      </c>
      <c r="F458" s="1" t="s">
        <v>19</v>
      </c>
      <c r="G458" s="1">
        <v>28</v>
      </c>
      <c r="H458" s="1" t="s">
        <v>51</v>
      </c>
      <c r="I458" s="1" t="s">
        <v>37</v>
      </c>
      <c r="J458" s="1">
        <v>2</v>
      </c>
      <c r="K458" s="1">
        <v>21.24</v>
      </c>
      <c r="L458" s="1">
        <v>0</v>
      </c>
      <c r="M458" s="16">
        <f t="shared" si="7"/>
        <v>42.48</v>
      </c>
      <c r="N458" s="1">
        <v>0</v>
      </c>
    </row>
    <row r="459" spans="1:14">
      <c r="A459" s="2">
        <v>46007</v>
      </c>
      <c r="B459" s="1">
        <v>1285</v>
      </c>
      <c r="C459" s="1">
        <v>60</v>
      </c>
      <c r="D459" s="1" t="s">
        <v>18</v>
      </c>
      <c r="E459" s="1" t="s">
        <v>14</v>
      </c>
      <c r="F459" s="1" t="s">
        <v>19</v>
      </c>
      <c r="G459" s="1">
        <v>26</v>
      </c>
      <c r="H459" s="1" t="s">
        <v>83</v>
      </c>
      <c r="I459" s="1" t="s">
        <v>37</v>
      </c>
      <c r="J459" s="1">
        <v>1</v>
      </c>
      <c r="K459" s="1">
        <v>31.76</v>
      </c>
      <c r="L459" s="1">
        <v>25</v>
      </c>
      <c r="M459" s="16">
        <f t="shared" si="7"/>
        <v>23.82</v>
      </c>
      <c r="N459" s="1">
        <v>0</v>
      </c>
    </row>
    <row r="460" spans="1:14">
      <c r="A460" s="2">
        <v>46020</v>
      </c>
      <c r="B460" s="1">
        <v>1352</v>
      </c>
      <c r="C460" s="1">
        <v>60</v>
      </c>
      <c r="D460" s="1" t="s">
        <v>18</v>
      </c>
      <c r="E460" s="1" t="s">
        <v>14</v>
      </c>
      <c r="F460" s="1" t="s">
        <v>19</v>
      </c>
      <c r="G460" s="1">
        <v>17</v>
      </c>
      <c r="H460" s="1" t="s">
        <v>60</v>
      </c>
      <c r="I460" s="1" t="s">
        <v>17</v>
      </c>
      <c r="J460" s="1">
        <v>2</v>
      </c>
      <c r="K460" s="1">
        <v>6.61</v>
      </c>
      <c r="L460" s="1">
        <v>0</v>
      </c>
      <c r="M460" s="16">
        <f t="shared" si="7"/>
        <v>13.22</v>
      </c>
      <c r="N460" s="1">
        <v>0</v>
      </c>
    </row>
    <row r="461" spans="1:14">
      <c r="A461" s="2">
        <v>46020</v>
      </c>
      <c r="B461" s="1">
        <v>1352</v>
      </c>
      <c r="C461" s="1">
        <v>60</v>
      </c>
      <c r="D461" s="1" t="s">
        <v>18</v>
      </c>
      <c r="E461" s="1" t="s">
        <v>14</v>
      </c>
      <c r="F461" s="1" t="s">
        <v>19</v>
      </c>
      <c r="G461" s="1">
        <v>1</v>
      </c>
      <c r="H461" s="1" t="s">
        <v>20</v>
      </c>
      <c r="I461" s="14" t="str">
        <f>_xlfn.XLOOKUP(H461,'Product Data'!$B$2:$B$100,'Product Data'!$C$2:$C$100,"Not Found")</f>
        <v>Apparel</v>
      </c>
      <c r="J461" s="1">
        <v>1</v>
      </c>
      <c r="K461" s="1">
        <v>47.45</v>
      </c>
      <c r="L461" s="1">
        <v>0</v>
      </c>
      <c r="M461" s="16">
        <f t="shared" si="7"/>
        <v>47.45</v>
      </c>
      <c r="N461" s="1">
        <v>0</v>
      </c>
    </row>
    <row r="462" spans="1:14">
      <c r="A462" s="2">
        <v>46073</v>
      </c>
      <c r="B462" s="1">
        <v>1508</v>
      </c>
      <c r="C462" s="1">
        <v>60</v>
      </c>
      <c r="D462" s="1" t="s">
        <v>18</v>
      </c>
      <c r="E462" s="1" t="s">
        <v>14</v>
      </c>
      <c r="F462" s="1" t="s">
        <v>19</v>
      </c>
      <c r="G462" s="1">
        <v>23</v>
      </c>
      <c r="H462" s="1" t="s">
        <v>98</v>
      </c>
      <c r="I462" s="1" t="s">
        <v>37</v>
      </c>
      <c r="J462" s="1">
        <v>2</v>
      </c>
      <c r="K462" s="1">
        <v>38.14</v>
      </c>
      <c r="L462" s="1">
        <v>10</v>
      </c>
      <c r="M462" s="16">
        <f t="shared" si="7"/>
        <v>68.652000000000001</v>
      </c>
      <c r="N462" s="1">
        <v>0</v>
      </c>
    </row>
    <row r="463" spans="1:14">
      <c r="A463" s="2">
        <v>45973</v>
      </c>
      <c r="B463" s="1">
        <v>1256</v>
      </c>
      <c r="C463" s="1">
        <f>_xlfn.XLOOKUP(D463,'Customer Data'!B:B,'Customer Data'!A:A,"Not Found")</f>
        <v>60</v>
      </c>
      <c r="D463" s="1" t="s">
        <v>18</v>
      </c>
      <c r="E463" s="1" t="s">
        <v>14</v>
      </c>
      <c r="F463" s="1" t="s">
        <v>19</v>
      </c>
      <c r="G463" s="1">
        <v>34</v>
      </c>
      <c r="H463" s="1" t="s">
        <v>130</v>
      </c>
      <c r="I463" s="1" t="s">
        <v>31</v>
      </c>
      <c r="J463" s="1">
        <v>1</v>
      </c>
      <c r="K463" s="1">
        <v>58.26</v>
      </c>
      <c r="L463" s="1">
        <v>10</v>
      </c>
      <c r="M463" s="16">
        <f t="shared" si="7"/>
        <v>52.433999999999997</v>
      </c>
      <c r="N463" s="1">
        <v>0</v>
      </c>
    </row>
    <row r="464" spans="1:14">
      <c r="A464" s="2">
        <v>46204</v>
      </c>
      <c r="B464" s="1">
        <v>1376</v>
      </c>
      <c r="C464" s="1">
        <v>61</v>
      </c>
      <c r="D464" s="1" t="s">
        <v>173</v>
      </c>
      <c r="E464" s="1" t="s">
        <v>68</v>
      </c>
      <c r="F464" s="1" t="s">
        <v>74</v>
      </c>
      <c r="G464" s="1">
        <v>36</v>
      </c>
      <c r="H464" s="1" t="s">
        <v>62</v>
      </c>
      <c r="I464" s="1" t="s">
        <v>27</v>
      </c>
      <c r="J464" s="1">
        <v>1</v>
      </c>
      <c r="K464" s="1">
        <v>23.23</v>
      </c>
      <c r="L464" s="1">
        <v>0</v>
      </c>
      <c r="M464" s="16">
        <f t="shared" si="7"/>
        <v>23.23</v>
      </c>
      <c r="N464" s="1">
        <v>0</v>
      </c>
    </row>
    <row r="465" spans="1:14">
      <c r="A465" s="2">
        <v>46016</v>
      </c>
      <c r="B465" s="1">
        <v>1325</v>
      </c>
      <c r="C465" s="1">
        <v>62</v>
      </c>
      <c r="D465" s="1" t="s">
        <v>169</v>
      </c>
      <c r="E465" s="1" t="s">
        <v>68</v>
      </c>
      <c r="F465" s="1" t="s">
        <v>19</v>
      </c>
      <c r="G465" s="1">
        <v>34</v>
      </c>
      <c r="H465" s="1" t="s">
        <v>130</v>
      </c>
      <c r="I465" s="1" t="s">
        <v>31</v>
      </c>
      <c r="J465" s="1">
        <v>1</v>
      </c>
      <c r="K465" s="1">
        <v>58.26</v>
      </c>
      <c r="L465" s="1">
        <v>0</v>
      </c>
      <c r="M465" s="16">
        <f t="shared" si="7"/>
        <v>58.26</v>
      </c>
      <c r="N465" s="1">
        <v>0</v>
      </c>
    </row>
    <row r="466" spans="1:14">
      <c r="A466" s="2">
        <v>46016</v>
      </c>
      <c r="B466" s="1">
        <v>1325</v>
      </c>
      <c r="C466" s="1">
        <v>62</v>
      </c>
      <c r="D466" s="1" t="s">
        <v>169</v>
      </c>
      <c r="E466" s="1" t="s">
        <v>68</v>
      </c>
      <c r="F466" s="1" t="s">
        <v>19</v>
      </c>
      <c r="G466" s="1">
        <v>25</v>
      </c>
      <c r="H466" s="1" t="s">
        <v>214</v>
      </c>
      <c r="I466" s="1" t="s">
        <v>37</v>
      </c>
      <c r="J466" s="1">
        <v>2</v>
      </c>
      <c r="K466" s="1">
        <v>38.869999999999997</v>
      </c>
      <c r="L466" s="1">
        <v>0</v>
      </c>
      <c r="M466" s="16">
        <f t="shared" si="7"/>
        <v>77.739999999999995</v>
      </c>
      <c r="N466" s="1">
        <v>0</v>
      </c>
    </row>
    <row r="467" spans="1:14">
      <c r="A467" s="2">
        <v>45975</v>
      </c>
      <c r="B467" s="1">
        <v>1125</v>
      </c>
      <c r="C467" s="1">
        <v>63</v>
      </c>
      <c r="D467" s="1" t="s">
        <v>131</v>
      </c>
      <c r="E467" s="1" t="s">
        <v>29</v>
      </c>
      <c r="F467" s="1" t="s">
        <v>55</v>
      </c>
      <c r="G467" s="1">
        <v>27</v>
      </c>
      <c r="H467" s="1" t="s">
        <v>89</v>
      </c>
      <c r="I467" s="1" t="s">
        <v>37</v>
      </c>
      <c r="J467" s="1">
        <v>1</v>
      </c>
      <c r="K467" s="1">
        <v>27.3</v>
      </c>
      <c r="L467" s="1">
        <v>0</v>
      </c>
      <c r="M467" s="16">
        <f t="shared" si="7"/>
        <v>27.3</v>
      </c>
      <c r="N467" s="1">
        <v>0</v>
      </c>
    </row>
    <row r="468" spans="1:14">
      <c r="A468" s="2">
        <v>45975</v>
      </c>
      <c r="B468" s="1">
        <v>1125</v>
      </c>
      <c r="C468" s="1">
        <v>63</v>
      </c>
      <c r="D468" s="1" t="s">
        <v>131</v>
      </c>
      <c r="E468" s="1" t="s">
        <v>29</v>
      </c>
      <c r="F468" s="1" t="s">
        <v>55</v>
      </c>
      <c r="G468" s="1">
        <v>29</v>
      </c>
      <c r="H468" s="1" t="s">
        <v>96</v>
      </c>
      <c r="I468" s="1" t="s">
        <v>31</v>
      </c>
      <c r="J468" s="1">
        <v>1</v>
      </c>
      <c r="K468" s="1">
        <v>45.67</v>
      </c>
      <c r="L468" s="1">
        <v>0</v>
      </c>
      <c r="M468" s="16">
        <f t="shared" si="7"/>
        <v>45.67</v>
      </c>
      <c r="N468" s="1">
        <v>0</v>
      </c>
    </row>
    <row r="469" spans="1:14">
      <c r="A469" s="2">
        <v>45975</v>
      </c>
      <c r="B469" s="1">
        <v>1125</v>
      </c>
      <c r="C469" s="1">
        <v>63</v>
      </c>
      <c r="D469" s="1" t="s">
        <v>131</v>
      </c>
      <c r="E469" s="1" t="s">
        <v>29</v>
      </c>
      <c r="F469" s="1" t="s">
        <v>55</v>
      </c>
      <c r="G469" s="1">
        <v>13</v>
      </c>
      <c r="H469" s="1" t="s">
        <v>45</v>
      </c>
      <c r="I469" s="1" t="s">
        <v>33</v>
      </c>
      <c r="J469" s="1">
        <v>1</v>
      </c>
      <c r="K469" s="1">
        <v>54.9</v>
      </c>
      <c r="L469" s="1">
        <v>0</v>
      </c>
      <c r="M469" s="16">
        <f t="shared" si="7"/>
        <v>54.9</v>
      </c>
      <c r="N469" s="1">
        <v>0</v>
      </c>
    </row>
    <row r="470" spans="1:14">
      <c r="A470" s="2">
        <v>45982</v>
      </c>
      <c r="B470" s="1">
        <v>1158</v>
      </c>
      <c r="C470" s="1">
        <v>63</v>
      </c>
      <c r="D470" s="1" t="s">
        <v>131</v>
      </c>
      <c r="E470" s="1" t="s">
        <v>29</v>
      </c>
      <c r="F470" s="1" t="s">
        <v>55</v>
      </c>
      <c r="G470" s="1">
        <v>22</v>
      </c>
      <c r="H470" s="1" t="s">
        <v>75</v>
      </c>
      <c r="I470" s="1" t="s">
        <v>17</v>
      </c>
      <c r="J470" s="1">
        <v>1</v>
      </c>
      <c r="K470" s="1">
        <v>29.98</v>
      </c>
      <c r="L470" s="1">
        <v>0</v>
      </c>
      <c r="M470" s="16">
        <f t="shared" si="7"/>
        <v>29.98</v>
      </c>
      <c r="N470" s="1">
        <v>0</v>
      </c>
    </row>
    <row r="471" spans="1:14">
      <c r="A471" s="2">
        <v>45982</v>
      </c>
      <c r="B471" s="1">
        <v>1158</v>
      </c>
      <c r="C471" s="1">
        <v>63</v>
      </c>
      <c r="D471" s="1" t="s">
        <v>131</v>
      </c>
      <c r="E471" s="1" t="s">
        <v>29</v>
      </c>
      <c r="F471" s="1" t="s">
        <v>55</v>
      </c>
      <c r="G471" s="1">
        <v>20</v>
      </c>
      <c r="H471" s="1" t="s">
        <v>16</v>
      </c>
      <c r="I471" s="1" t="s">
        <v>17</v>
      </c>
      <c r="J471" s="1">
        <v>1</v>
      </c>
      <c r="K471" s="1">
        <v>32.76</v>
      </c>
      <c r="L471" s="1">
        <v>0</v>
      </c>
      <c r="M471" s="16">
        <f t="shared" si="7"/>
        <v>32.76</v>
      </c>
      <c r="N471" s="1">
        <v>0</v>
      </c>
    </row>
    <row r="472" spans="1:14">
      <c r="A472" s="2">
        <v>46013</v>
      </c>
      <c r="B472" s="1">
        <v>1307</v>
      </c>
      <c r="C472" s="1">
        <v>64</v>
      </c>
      <c r="D472" s="1" t="s">
        <v>167</v>
      </c>
      <c r="E472" s="1" t="s">
        <v>68</v>
      </c>
      <c r="F472" s="1" t="s">
        <v>19</v>
      </c>
      <c r="G472" s="1">
        <v>14</v>
      </c>
      <c r="H472" s="1" t="s">
        <v>105</v>
      </c>
      <c r="I472" s="1" t="s">
        <v>33</v>
      </c>
      <c r="J472" s="1">
        <v>1</v>
      </c>
      <c r="K472" s="1">
        <v>15.36</v>
      </c>
      <c r="L472" s="1">
        <v>10</v>
      </c>
      <c r="M472" s="16">
        <f t="shared" si="7"/>
        <v>13.824</v>
      </c>
      <c r="N472" s="1">
        <v>1</v>
      </c>
    </row>
    <row r="473" spans="1:14">
      <c r="A473" s="2">
        <v>46020</v>
      </c>
      <c r="B473" s="1">
        <v>1353</v>
      </c>
      <c r="C473" s="1">
        <v>64</v>
      </c>
      <c r="D473" s="1" t="s">
        <v>167</v>
      </c>
      <c r="E473" s="1" t="s">
        <v>68</v>
      </c>
      <c r="F473" s="1" t="s">
        <v>19</v>
      </c>
      <c r="G473" s="1">
        <v>17</v>
      </c>
      <c r="H473" s="1" t="s">
        <v>60</v>
      </c>
      <c r="I473" s="1" t="s">
        <v>17</v>
      </c>
      <c r="J473" s="1">
        <v>3</v>
      </c>
      <c r="K473" s="1">
        <v>6.61</v>
      </c>
      <c r="L473" s="1">
        <v>0</v>
      </c>
      <c r="M473" s="16">
        <f t="shared" si="7"/>
        <v>19.830000000000002</v>
      </c>
      <c r="N473" s="1">
        <v>0</v>
      </c>
    </row>
    <row r="474" spans="1:14">
      <c r="A474" s="2">
        <v>46020</v>
      </c>
      <c r="B474" s="1">
        <v>1353</v>
      </c>
      <c r="C474" s="1">
        <v>64</v>
      </c>
      <c r="D474" s="1" t="s">
        <v>167</v>
      </c>
      <c r="E474" s="1" t="s">
        <v>68</v>
      </c>
      <c r="F474" s="1" t="s">
        <v>19</v>
      </c>
      <c r="G474" s="1">
        <v>7</v>
      </c>
      <c r="H474" s="1" t="s">
        <v>46</v>
      </c>
      <c r="I474" s="1" t="s">
        <v>21</v>
      </c>
      <c r="J474" s="1">
        <v>1</v>
      </c>
      <c r="K474" s="1">
        <v>79.39</v>
      </c>
      <c r="L474" s="1">
        <v>0</v>
      </c>
      <c r="M474" s="16">
        <f t="shared" si="7"/>
        <v>79.39</v>
      </c>
      <c r="N474" s="1">
        <v>1</v>
      </c>
    </row>
    <row r="475" spans="1:14">
      <c r="A475" s="2">
        <v>46020</v>
      </c>
      <c r="B475" s="1">
        <v>1353</v>
      </c>
      <c r="C475" s="1">
        <v>64</v>
      </c>
      <c r="D475" s="1" t="s">
        <v>167</v>
      </c>
      <c r="E475" s="1" t="s">
        <v>68</v>
      </c>
      <c r="F475" s="1" t="s">
        <v>19</v>
      </c>
      <c r="G475" s="1">
        <v>13</v>
      </c>
      <c r="H475" s="1" t="s">
        <v>45</v>
      </c>
      <c r="I475" s="1" t="s">
        <v>33</v>
      </c>
      <c r="J475" s="1">
        <v>1</v>
      </c>
      <c r="K475" s="1">
        <v>54.9</v>
      </c>
      <c r="L475" s="1">
        <v>0</v>
      </c>
      <c r="M475" s="16">
        <f t="shared" si="7"/>
        <v>54.9</v>
      </c>
      <c r="N475" s="1">
        <v>0</v>
      </c>
    </row>
    <row r="476" spans="1:14">
      <c r="A476" s="2">
        <v>46020</v>
      </c>
      <c r="B476" s="1">
        <v>1353</v>
      </c>
      <c r="C476" s="1">
        <v>64</v>
      </c>
      <c r="D476" s="1" t="s">
        <v>167</v>
      </c>
      <c r="E476" s="1" t="s">
        <v>68</v>
      </c>
      <c r="F476" s="1" t="s">
        <v>19</v>
      </c>
      <c r="G476" s="1">
        <f>_xlfn.XLOOKUP(H476,'Product Data'!$B$2:$B$100,'Product Data'!$A$2:$A$100,"Not Found")</f>
        <v>40</v>
      </c>
      <c r="H476" s="1" t="s">
        <v>53</v>
      </c>
      <c r="I476" s="1" t="s">
        <v>27</v>
      </c>
      <c r="J476" s="1">
        <v>1</v>
      </c>
      <c r="K476" s="1">
        <v>47.25</v>
      </c>
      <c r="L476" s="1">
        <v>0</v>
      </c>
      <c r="M476" s="16">
        <f t="shared" si="7"/>
        <v>47.25</v>
      </c>
      <c r="N476" s="1">
        <v>0</v>
      </c>
    </row>
    <row r="477" spans="1:14">
      <c r="A477" s="2">
        <v>46050</v>
      </c>
      <c r="B477" s="1">
        <v>1436</v>
      </c>
      <c r="C477" s="1">
        <f>_xlfn.XLOOKUP(D477,'Customer Data'!B:B,'Customer Data'!A:A,"Not Found")</f>
        <v>64</v>
      </c>
      <c r="D477" s="1" t="s">
        <v>167</v>
      </c>
      <c r="E477" s="1" t="s">
        <v>68</v>
      </c>
      <c r="F477" s="1" t="s">
        <v>19</v>
      </c>
      <c r="G477" s="1">
        <v>21</v>
      </c>
      <c r="H477" s="1" t="s">
        <v>97</v>
      </c>
      <c r="I477" s="1" t="s">
        <v>17</v>
      </c>
      <c r="J477" s="1">
        <v>3</v>
      </c>
      <c r="K477" s="1">
        <v>49.37</v>
      </c>
      <c r="L477" s="1">
        <v>20</v>
      </c>
      <c r="M477" s="16">
        <f t="shared" si="7"/>
        <v>118.488</v>
      </c>
      <c r="N477" s="1">
        <v>0</v>
      </c>
    </row>
    <row r="478" spans="1:14">
      <c r="A478" s="2">
        <v>45948</v>
      </c>
      <c r="B478" s="1">
        <v>1023</v>
      </c>
      <c r="C478" s="1">
        <v>65</v>
      </c>
      <c r="D478" s="1" t="s">
        <v>71</v>
      </c>
      <c r="E478" s="1" t="s">
        <v>68</v>
      </c>
      <c r="F478" s="1" t="s">
        <v>19</v>
      </c>
      <c r="G478" s="1">
        <v>40</v>
      </c>
      <c r="H478" s="1" t="s">
        <v>53</v>
      </c>
      <c r="I478" s="1" t="s">
        <v>27</v>
      </c>
      <c r="J478" s="1">
        <v>1</v>
      </c>
      <c r="K478" s="1">
        <v>47.25</v>
      </c>
      <c r="L478" s="1">
        <v>0</v>
      </c>
      <c r="M478" s="16">
        <f t="shared" si="7"/>
        <v>47.25</v>
      </c>
      <c r="N478" s="1">
        <v>0</v>
      </c>
    </row>
    <row r="479" spans="1:14">
      <c r="A479" s="2">
        <v>45948</v>
      </c>
      <c r="B479" s="1">
        <v>1023</v>
      </c>
      <c r="C479" s="1">
        <v>65</v>
      </c>
      <c r="D479" s="1" t="s">
        <v>71</v>
      </c>
      <c r="E479" s="1" t="s">
        <v>68</v>
      </c>
      <c r="F479" s="1" t="s">
        <v>19</v>
      </c>
      <c r="G479" s="1">
        <v>9</v>
      </c>
      <c r="H479" s="1" t="s">
        <v>69</v>
      </c>
      <c r="I479" s="1" t="s">
        <v>33</v>
      </c>
      <c r="J479" s="1">
        <v>2</v>
      </c>
      <c r="K479" s="1">
        <v>20.69</v>
      </c>
      <c r="L479" s="1">
        <v>0</v>
      </c>
      <c r="M479" s="16">
        <f t="shared" si="7"/>
        <v>41.38</v>
      </c>
      <c r="N479" s="1">
        <v>0</v>
      </c>
    </row>
    <row r="480" spans="1:14">
      <c r="A480" s="2">
        <v>45948</v>
      </c>
      <c r="B480" s="1">
        <v>1023</v>
      </c>
      <c r="C480" s="1">
        <f>_xlfn.XLOOKUP(D480,'Customer Data'!B:B,'Customer Data'!A:A,"Not Found")</f>
        <v>65</v>
      </c>
      <c r="D480" s="1" t="s">
        <v>71</v>
      </c>
      <c r="E480" s="1" t="s">
        <v>68</v>
      </c>
      <c r="F480" s="1" t="s">
        <v>19</v>
      </c>
      <c r="G480" s="1">
        <v>38</v>
      </c>
      <c r="H480" s="1" t="s">
        <v>70</v>
      </c>
      <c r="I480" s="1" t="s">
        <v>27</v>
      </c>
      <c r="J480" s="1">
        <v>1</v>
      </c>
      <c r="K480" s="1">
        <v>25.14</v>
      </c>
      <c r="L480" s="1">
        <v>0</v>
      </c>
      <c r="M480" s="16">
        <f t="shared" si="7"/>
        <v>25.14</v>
      </c>
      <c r="N480" s="1">
        <v>0</v>
      </c>
    </row>
    <row r="481" spans="1:14">
      <c r="A481" s="2">
        <v>45948</v>
      </c>
      <c r="B481" s="1">
        <v>1024</v>
      </c>
      <c r="C481" s="1">
        <v>66</v>
      </c>
      <c r="D481" s="1" t="s">
        <v>72</v>
      </c>
      <c r="E481" s="1" t="s">
        <v>68</v>
      </c>
      <c r="F481" s="1" t="s">
        <v>35</v>
      </c>
      <c r="G481" s="1">
        <v>24</v>
      </c>
      <c r="H481" s="1" t="s">
        <v>44</v>
      </c>
      <c r="I481" s="1" t="s">
        <v>37</v>
      </c>
      <c r="J481" s="1">
        <v>1</v>
      </c>
      <c r="K481" s="1">
        <v>43.42</v>
      </c>
      <c r="L481" s="1">
        <v>0</v>
      </c>
      <c r="M481" s="16">
        <f t="shared" si="7"/>
        <v>43.42</v>
      </c>
      <c r="N481" s="1">
        <v>0</v>
      </c>
    </row>
    <row r="482" spans="1:14">
      <c r="A482" s="2">
        <v>45948</v>
      </c>
      <c r="B482" s="1">
        <v>1024</v>
      </c>
      <c r="C482" s="1">
        <v>66</v>
      </c>
      <c r="D482" s="1" t="s">
        <v>72</v>
      </c>
      <c r="E482" s="1" t="s">
        <v>68</v>
      </c>
      <c r="F482" s="1" t="s">
        <v>35</v>
      </c>
      <c r="G482" s="1">
        <v>12</v>
      </c>
      <c r="H482" s="1" t="s">
        <v>215</v>
      </c>
      <c r="I482" s="1" t="s">
        <v>33</v>
      </c>
      <c r="J482" s="1">
        <v>1</v>
      </c>
      <c r="K482" s="1">
        <v>8.4499999999999993</v>
      </c>
      <c r="L482" s="1">
        <v>0</v>
      </c>
      <c r="M482" s="16">
        <f t="shared" si="7"/>
        <v>8.4499999999999993</v>
      </c>
      <c r="N482" s="1">
        <v>0</v>
      </c>
    </row>
    <row r="483" spans="1:14">
      <c r="A483" s="2">
        <v>46114</v>
      </c>
      <c r="B483" s="1">
        <v>1451</v>
      </c>
      <c r="C483" s="1">
        <v>67</v>
      </c>
      <c r="D483" s="1" t="s">
        <v>182</v>
      </c>
      <c r="E483" s="1" t="s">
        <v>14</v>
      </c>
      <c r="F483" s="1" t="s">
        <v>74</v>
      </c>
      <c r="G483" s="1">
        <v>2</v>
      </c>
      <c r="H483" s="1" t="s">
        <v>80</v>
      </c>
      <c r="I483" s="1" t="s">
        <v>21</v>
      </c>
      <c r="J483" s="1">
        <v>1</v>
      </c>
      <c r="K483" s="1">
        <v>64.02</v>
      </c>
      <c r="L483" s="1">
        <v>15</v>
      </c>
      <c r="M483" s="16">
        <f t="shared" si="7"/>
        <v>54.416999999999994</v>
      </c>
      <c r="N483" s="1">
        <v>0</v>
      </c>
    </row>
    <row r="484" spans="1:14">
      <c r="A484" s="2">
        <v>46073</v>
      </c>
      <c r="B484" s="1">
        <v>1509</v>
      </c>
      <c r="C484" s="1">
        <v>67</v>
      </c>
      <c r="D484" s="1" t="s">
        <v>182</v>
      </c>
      <c r="E484" s="1" t="s">
        <v>14</v>
      </c>
      <c r="F484" s="1" t="s">
        <v>74</v>
      </c>
      <c r="G484" s="1">
        <v>8</v>
      </c>
      <c r="H484" s="1" t="s">
        <v>84</v>
      </c>
      <c r="I484" s="1" t="s">
        <v>21</v>
      </c>
      <c r="J484" s="1">
        <v>1</v>
      </c>
      <c r="K484" s="1">
        <v>16.72</v>
      </c>
      <c r="L484" s="1">
        <v>5</v>
      </c>
      <c r="M484" s="16">
        <f t="shared" si="7"/>
        <v>15.883999999999999</v>
      </c>
      <c r="N484" s="1">
        <v>0</v>
      </c>
    </row>
    <row r="485" spans="1:14">
      <c r="A485" s="2">
        <v>46073</v>
      </c>
      <c r="B485" s="1">
        <v>1509</v>
      </c>
      <c r="C485" s="1">
        <v>67</v>
      </c>
      <c r="D485" s="1" t="s">
        <v>182</v>
      </c>
      <c r="E485" s="1" t="s">
        <v>14</v>
      </c>
      <c r="F485" s="1" t="s">
        <v>74</v>
      </c>
      <c r="G485" s="1">
        <v>23</v>
      </c>
      <c r="H485" s="1" t="s">
        <v>98</v>
      </c>
      <c r="I485" s="1" t="s">
        <v>208</v>
      </c>
      <c r="J485" s="1">
        <v>1</v>
      </c>
      <c r="K485" s="1">
        <v>38.14</v>
      </c>
      <c r="L485" s="1">
        <v>0</v>
      </c>
      <c r="M485" s="16">
        <f t="shared" si="7"/>
        <v>38.14</v>
      </c>
      <c r="N485" s="1">
        <v>0</v>
      </c>
    </row>
    <row r="486" spans="1:14">
      <c r="A486" s="2">
        <v>46073</v>
      </c>
      <c r="B486" s="1">
        <v>1509</v>
      </c>
      <c r="C486" s="1">
        <v>67</v>
      </c>
      <c r="D486" s="1" t="s">
        <v>182</v>
      </c>
      <c r="E486" s="1" t="s">
        <v>14</v>
      </c>
      <c r="F486" s="1" t="s">
        <v>74</v>
      </c>
      <c r="G486" s="1">
        <v>23</v>
      </c>
      <c r="H486" s="1" t="s">
        <v>98</v>
      </c>
      <c r="I486" s="1" t="s">
        <v>37</v>
      </c>
      <c r="J486" s="1">
        <v>1</v>
      </c>
      <c r="K486" s="1">
        <v>38.14</v>
      </c>
      <c r="L486" s="1">
        <v>5</v>
      </c>
      <c r="M486" s="16">
        <f t="shared" si="7"/>
        <v>36.232999999999997</v>
      </c>
      <c r="N486" s="1">
        <v>0</v>
      </c>
    </row>
    <row r="487" spans="1:14">
      <c r="A487" s="2">
        <v>46025</v>
      </c>
      <c r="B487" s="1">
        <v>1549</v>
      </c>
      <c r="C487" s="1">
        <v>67</v>
      </c>
      <c r="D487" s="1" t="s">
        <v>182</v>
      </c>
      <c r="E487" s="1" t="s">
        <v>14</v>
      </c>
      <c r="F487" s="1" t="s">
        <v>74</v>
      </c>
      <c r="G487" s="1">
        <v>23</v>
      </c>
      <c r="H487" s="1" t="s">
        <v>98</v>
      </c>
      <c r="I487" s="1" t="s">
        <v>37</v>
      </c>
      <c r="J487" s="1">
        <v>1</v>
      </c>
      <c r="K487" s="1">
        <v>38.14</v>
      </c>
      <c r="L487" s="1">
        <v>10</v>
      </c>
      <c r="M487" s="16">
        <f t="shared" si="7"/>
        <v>34.326000000000001</v>
      </c>
      <c r="N487" s="1">
        <v>0</v>
      </c>
    </row>
    <row r="488" spans="1:14">
      <c r="A488" s="2">
        <v>46025</v>
      </c>
      <c r="B488" s="1">
        <v>1549</v>
      </c>
      <c r="C488" s="1">
        <v>67</v>
      </c>
      <c r="D488" s="1" t="s">
        <v>182</v>
      </c>
      <c r="E488" s="1" t="s">
        <v>14</v>
      </c>
      <c r="F488" s="1" t="s">
        <v>74</v>
      </c>
      <c r="G488" s="1">
        <v>32</v>
      </c>
      <c r="H488" s="1" t="s">
        <v>103</v>
      </c>
      <c r="I488" s="14" t="str">
        <f>_xlfn.XLOOKUP(H488,'Product Data'!$B$2:$B$100,'Product Data'!$C$2:$C$100,"Not Found")</f>
        <v>Sports</v>
      </c>
      <c r="J488" s="1">
        <v>1</v>
      </c>
      <c r="K488" s="1">
        <v>61.06</v>
      </c>
      <c r="L488" s="1">
        <v>0</v>
      </c>
      <c r="M488" s="16">
        <f t="shared" si="7"/>
        <v>61.06</v>
      </c>
      <c r="N488" s="1">
        <v>0</v>
      </c>
    </row>
    <row r="489" spans="1:14">
      <c r="A489" s="2">
        <v>46025</v>
      </c>
      <c r="B489" s="1">
        <v>1549</v>
      </c>
      <c r="C489" s="1">
        <v>67</v>
      </c>
      <c r="D489" s="1" t="s">
        <v>182</v>
      </c>
      <c r="E489" s="1" t="s">
        <v>14</v>
      </c>
      <c r="F489" s="1" t="s">
        <v>74</v>
      </c>
      <c r="G489" s="1">
        <v>2</v>
      </c>
      <c r="H489" s="1" t="s">
        <v>80</v>
      </c>
      <c r="I489" s="1" t="s">
        <v>21</v>
      </c>
      <c r="J489" s="1">
        <v>1</v>
      </c>
      <c r="K489" s="1">
        <v>64.02</v>
      </c>
      <c r="L489" s="1">
        <v>0</v>
      </c>
      <c r="M489" s="16">
        <f t="shared" si="7"/>
        <v>64.02</v>
      </c>
      <c r="N489" s="1">
        <v>0</v>
      </c>
    </row>
    <row r="490" spans="1:14">
      <c r="A490" s="2">
        <v>45961</v>
      </c>
      <c r="B490" s="1">
        <v>1060</v>
      </c>
      <c r="C490" s="1">
        <v>68</v>
      </c>
      <c r="D490" s="1" t="s">
        <v>109</v>
      </c>
      <c r="E490" s="1" t="s">
        <v>14</v>
      </c>
      <c r="F490" s="1" t="s">
        <v>41</v>
      </c>
      <c r="G490" s="1">
        <v>35</v>
      </c>
      <c r="H490" s="1" t="s">
        <v>104</v>
      </c>
      <c r="I490" s="1" t="s">
        <v>27</v>
      </c>
      <c r="J490" s="1">
        <v>1</v>
      </c>
      <c r="K490" s="1">
        <v>11.3</v>
      </c>
      <c r="L490" s="1">
        <v>5</v>
      </c>
      <c r="M490" s="16">
        <f t="shared" si="7"/>
        <v>10.734999999999999</v>
      </c>
      <c r="N490" s="1">
        <v>0</v>
      </c>
    </row>
    <row r="491" spans="1:14">
      <c r="A491" s="2">
        <v>45961</v>
      </c>
      <c r="B491" s="1">
        <v>1060</v>
      </c>
      <c r="C491" s="1">
        <v>68</v>
      </c>
      <c r="D491" s="1" t="s">
        <v>109</v>
      </c>
      <c r="E491" s="1" t="s">
        <v>14</v>
      </c>
      <c r="F491" s="1" t="s">
        <v>41</v>
      </c>
      <c r="G491" s="1">
        <v>37</v>
      </c>
      <c r="H491" s="1" t="s">
        <v>26</v>
      </c>
      <c r="I491" s="1" t="s">
        <v>27</v>
      </c>
      <c r="J491" s="1">
        <v>1</v>
      </c>
      <c r="K491" s="1">
        <v>52.67</v>
      </c>
      <c r="L491" s="1">
        <v>0</v>
      </c>
      <c r="M491" s="16">
        <f t="shared" si="7"/>
        <v>52.67</v>
      </c>
      <c r="N491" s="1">
        <v>0</v>
      </c>
    </row>
    <row r="492" spans="1:14">
      <c r="A492" s="2">
        <v>45961</v>
      </c>
      <c r="B492" s="1">
        <v>1060</v>
      </c>
      <c r="C492" s="1">
        <v>68</v>
      </c>
      <c r="D492" s="1" t="s">
        <v>109</v>
      </c>
      <c r="E492" s="1" t="s">
        <v>14</v>
      </c>
      <c r="F492" s="1" t="s">
        <v>41</v>
      </c>
      <c r="G492" s="1">
        <v>39</v>
      </c>
      <c r="H492" s="1" t="s">
        <v>36</v>
      </c>
      <c r="I492" s="1" t="s">
        <v>27</v>
      </c>
      <c r="J492" s="1">
        <v>3</v>
      </c>
      <c r="K492" s="1">
        <v>39.979999999999997</v>
      </c>
      <c r="L492" s="1">
        <v>0</v>
      </c>
      <c r="M492" s="16">
        <f t="shared" si="7"/>
        <v>119.94</v>
      </c>
      <c r="N492" s="1">
        <v>0</v>
      </c>
    </row>
    <row r="493" spans="1:14">
      <c r="A493" s="2">
        <v>45961</v>
      </c>
      <c r="B493" s="1">
        <v>1060</v>
      </c>
      <c r="C493" s="1">
        <v>68</v>
      </c>
      <c r="D493" s="1" t="s">
        <v>109</v>
      </c>
      <c r="E493" s="1" t="s">
        <v>14</v>
      </c>
      <c r="F493" s="1" t="s">
        <v>41</v>
      </c>
      <c r="G493" s="1">
        <v>19</v>
      </c>
      <c r="H493" s="1" t="s">
        <v>64</v>
      </c>
      <c r="I493" s="1" t="s">
        <v>17</v>
      </c>
      <c r="J493" s="1">
        <v>1</v>
      </c>
      <c r="K493" s="1">
        <v>50.14</v>
      </c>
      <c r="L493" s="1">
        <v>0</v>
      </c>
      <c r="M493" s="16">
        <f t="shared" si="7"/>
        <v>50.14</v>
      </c>
      <c r="N493" s="1">
        <v>0</v>
      </c>
    </row>
    <row r="494" spans="1:14">
      <c r="A494" s="2">
        <v>45788</v>
      </c>
      <c r="B494" s="1">
        <v>1080</v>
      </c>
      <c r="C494" s="1">
        <v>68</v>
      </c>
      <c r="D494" s="1" t="s">
        <v>109</v>
      </c>
      <c r="E494" s="1" t="s">
        <v>14</v>
      </c>
      <c r="F494" s="1" t="s">
        <v>41</v>
      </c>
      <c r="G494" s="1">
        <v>16</v>
      </c>
      <c r="H494" s="1" t="s">
        <v>77</v>
      </c>
      <c r="I494" s="1" t="s">
        <v>17</v>
      </c>
      <c r="J494" s="1">
        <v>2</v>
      </c>
      <c r="K494" s="1">
        <v>11.81</v>
      </c>
      <c r="L494" s="1">
        <v>0</v>
      </c>
      <c r="M494" s="16">
        <f t="shared" si="7"/>
        <v>23.62</v>
      </c>
      <c r="N494" s="1">
        <v>0</v>
      </c>
    </row>
    <row r="495" spans="1:14">
      <c r="A495" s="2">
        <v>45788</v>
      </c>
      <c r="B495" s="1">
        <v>1080</v>
      </c>
      <c r="C495" s="1">
        <v>68</v>
      </c>
      <c r="D495" s="1" t="s">
        <v>109</v>
      </c>
      <c r="E495" s="1" t="s">
        <v>14</v>
      </c>
      <c r="F495" s="1" t="s">
        <v>41</v>
      </c>
      <c r="G495" s="1">
        <v>18</v>
      </c>
      <c r="H495" s="1" t="s">
        <v>23</v>
      </c>
      <c r="I495" s="1" t="s">
        <v>17</v>
      </c>
      <c r="J495" s="1">
        <v>1</v>
      </c>
      <c r="K495" s="1">
        <v>44.01</v>
      </c>
      <c r="L495" s="1">
        <v>5</v>
      </c>
      <c r="M495" s="16">
        <f t="shared" si="7"/>
        <v>41.809499999999993</v>
      </c>
      <c r="N495" s="1">
        <v>0</v>
      </c>
    </row>
    <row r="496" spans="1:14">
      <c r="A496" s="2">
        <v>45669</v>
      </c>
      <c r="B496" s="1">
        <v>1209</v>
      </c>
      <c r="C496" s="1">
        <v>68</v>
      </c>
      <c r="D496" s="1" t="s">
        <v>109</v>
      </c>
      <c r="E496" s="1" t="s">
        <v>14</v>
      </c>
      <c r="F496" s="1" t="s">
        <v>41</v>
      </c>
      <c r="G496" s="1">
        <v>32</v>
      </c>
      <c r="H496" s="1" t="s">
        <v>103</v>
      </c>
      <c r="I496" s="1" t="s">
        <v>31</v>
      </c>
      <c r="J496" s="1">
        <v>1</v>
      </c>
      <c r="K496" s="1">
        <v>61.06</v>
      </c>
      <c r="L496" s="1">
        <v>0</v>
      </c>
      <c r="M496" s="16">
        <f t="shared" si="7"/>
        <v>61.06</v>
      </c>
      <c r="N496" s="1">
        <v>0</v>
      </c>
    </row>
    <row r="497" spans="1:14">
      <c r="A497" s="2">
        <v>46002</v>
      </c>
      <c r="B497" s="1">
        <v>1257</v>
      </c>
      <c r="C497" s="1">
        <v>68</v>
      </c>
      <c r="D497" s="1" t="s">
        <v>109</v>
      </c>
      <c r="E497" s="1" t="s">
        <v>14</v>
      </c>
      <c r="F497" s="1" t="s">
        <v>41</v>
      </c>
      <c r="G497" s="1">
        <v>12</v>
      </c>
      <c r="H497" s="1" t="s">
        <v>215</v>
      </c>
      <c r="I497" s="1" t="s">
        <v>33</v>
      </c>
      <c r="J497" s="1">
        <v>1</v>
      </c>
      <c r="K497" s="1">
        <v>8.4499999999999993</v>
      </c>
      <c r="L497" s="1">
        <v>10</v>
      </c>
      <c r="M497" s="16">
        <f t="shared" si="7"/>
        <v>7.6049999999999995</v>
      </c>
      <c r="N497" s="1">
        <v>0</v>
      </c>
    </row>
    <row r="498" spans="1:14">
      <c r="A498" s="2">
        <v>45973</v>
      </c>
      <c r="B498" s="1">
        <v>1257</v>
      </c>
      <c r="C498" s="1">
        <v>68</v>
      </c>
      <c r="D498" s="1" t="s">
        <v>109</v>
      </c>
      <c r="E498" s="1" t="s">
        <v>14</v>
      </c>
      <c r="F498" s="1" t="s">
        <v>41</v>
      </c>
      <c r="G498" s="1">
        <v>17</v>
      </c>
      <c r="H498" s="1" t="s">
        <v>60</v>
      </c>
      <c r="I498" s="1" t="s">
        <v>17</v>
      </c>
      <c r="J498" s="1">
        <v>1</v>
      </c>
      <c r="K498" s="1">
        <v>6.61</v>
      </c>
      <c r="L498" s="1">
        <v>0</v>
      </c>
      <c r="M498" s="16">
        <f t="shared" si="7"/>
        <v>6.61</v>
      </c>
      <c r="N498" s="1">
        <v>0</v>
      </c>
    </row>
    <row r="499" spans="1:14">
      <c r="A499" s="2">
        <v>45973</v>
      </c>
      <c r="B499" s="1">
        <v>1257</v>
      </c>
      <c r="C499" s="1">
        <v>68</v>
      </c>
      <c r="D499" s="1" t="s">
        <v>109</v>
      </c>
      <c r="E499" s="1" t="s">
        <v>14</v>
      </c>
      <c r="F499" s="1" t="s">
        <v>41</v>
      </c>
      <c r="G499" s="1">
        <v>19</v>
      </c>
      <c r="H499" s="1" t="s">
        <v>64</v>
      </c>
      <c r="I499" s="1" t="s">
        <v>139</v>
      </c>
      <c r="J499" s="1">
        <v>1</v>
      </c>
      <c r="K499" s="1">
        <v>50.14</v>
      </c>
      <c r="L499" s="1">
        <v>10</v>
      </c>
      <c r="M499" s="16">
        <f t="shared" si="7"/>
        <v>45.126000000000005</v>
      </c>
      <c r="N499" s="1">
        <v>0</v>
      </c>
    </row>
    <row r="500" spans="1:14">
      <c r="A500" s="2">
        <v>46296</v>
      </c>
      <c r="B500" s="1">
        <v>1387</v>
      </c>
      <c r="C500" s="1">
        <v>69</v>
      </c>
      <c r="D500" s="1" t="s">
        <v>175</v>
      </c>
      <c r="E500" s="1" t="s">
        <v>40</v>
      </c>
      <c r="F500" s="1" t="s">
        <v>55</v>
      </c>
      <c r="G500" s="1">
        <v>20</v>
      </c>
      <c r="H500" s="1" t="s">
        <v>16</v>
      </c>
      <c r="I500" s="1" t="s">
        <v>17</v>
      </c>
      <c r="J500" s="1">
        <v>1</v>
      </c>
      <c r="K500" s="1">
        <v>32.76</v>
      </c>
      <c r="L500" s="1">
        <v>15</v>
      </c>
      <c r="M500" s="16">
        <f t="shared" si="7"/>
        <v>27.845999999999997</v>
      </c>
      <c r="N500" s="1">
        <v>0</v>
      </c>
    </row>
    <row r="501" spans="1:14">
      <c r="A501" s="2">
        <v>46357</v>
      </c>
      <c r="B501" s="1">
        <v>1397</v>
      </c>
      <c r="C501" s="1">
        <v>69</v>
      </c>
      <c r="D501" s="1" t="s">
        <v>175</v>
      </c>
      <c r="E501" s="1" t="s">
        <v>40</v>
      </c>
      <c r="F501" s="1" t="s">
        <v>55</v>
      </c>
      <c r="G501" s="1">
        <v>13</v>
      </c>
      <c r="H501" s="1" t="s">
        <v>45</v>
      </c>
      <c r="I501" s="1" t="s">
        <v>33</v>
      </c>
      <c r="J501" s="1">
        <v>1</v>
      </c>
      <c r="K501" s="1">
        <v>54.9</v>
      </c>
      <c r="L501" s="1">
        <v>20</v>
      </c>
      <c r="M501" s="16">
        <f t="shared" si="7"/>
        <v>43.92</v>
      </c>
      <c r="N501" s="1">
        <v>0</v>
      </c>
    </row>
    <row r="502" spans="1:14">
      <c r="A502" s="2">
        <v>46357</v>
      </c>
      <c r="B502" s="1">
        <v>1397</v>
      </c>
      <c r="C502" s="1">
        <v>69</v>
      </c>
      <c r="D502" s="1" t="s">
        <v>175</v>
      </c>
      <c r="E502" s="1" t="s">
        <v>40</v>
      </c>
      <c r="F502" s="1" t="s">
        <v>55</v>
      </c>
      <c r="G502" s="1">
        <v>12</v>
      </c>
      <c r="H502" s="1" t="s">
        <v>215</v>
      </c>
      <c r="I502" s="1" t="s">
        <v>33</v>
      </c>
      <c r="J502" s="1">
        <v>1</v>
      </c>
      <c r="K502" s="1">
        <v>8.4499999999999993</v>
      </c>
      <c r="L502" s="1">
        <v>20</v>
      </c>
      <c r="M502" s="16">
        <f t="shared" si="7"/>
        <v>6.76</v>
      </c>
      <c r="N502" s="1">
        <v>1</v>
      </c>
    </row>
    <row r="503" spans="1:14">
      <c r="A503" s="2">
        <v>45988</v>
      </c>
      <c r="B503" s="1">
        <v>1187</v>
      </c>
      <c r="C503" s="1">
        <v>70</v>
      </c>
      <c r="D503" s="1" t="s">
        <v>148</v>
      </c>
      <c r="E503" s="1" t="s">
        <v>29</v>
      </c>
      <c r="F503" s="1" t="s">
        <v>15</v>
      </c>
      <c r="G503" s="1">
        <v>29</v>
      </c>
      <c r="H503" s="1" t="s">
        <v>96</v>
      </c>
      <c r="I503" s="1" t="s">
        <v>31</v>
      </c>
      <c r="J503" s="1">
        <v>1</v>
      </c>
      <c r="K503" s="1">
        <v>45.67</v>
      </c>
      <c r="L503" s="1">
        <v>0</v>
      </c>
      <c r="M503" s="16">
        <f t="shared" si="7"/>
        <v>45.67</v>
      </c>
      <c r="N503" s="1">
        <v>0</v>
      </c>
    </row>
    <row r="504" spans="1:14">
      <c r="A504" s="2">
        <v>46016</v>
      </c>
      <c r="B504" s="1">
        <v>1258</v>
      </c>
      <c r="C504" s="1">
        <v>70</v>
      </c>
      <c r="D504" s="1" t="s">
        <v>148</v>
      </c>
      <c r="E504" s="1" t="s">
        <v>29</v>
      </c>
      <c r="F504" s="1" t="s">
        <v>15</v>
      </c>
      <c r="G504" s="1">
        <v>11</v>
      </c>
      <c r="H504" s="1" t="s">
        <v>65</v>
      </c>
      <c r="I504" s="1" t="s">
        <v>33</v>
      </c>
      <c r="J504" s="1">
        <v>1</v>
      </c>
      <c r="K504" s="1">
        <v>58.35</v>
      </c>
      <c r="L504" s="1">
        <v>0</v>
      </c>
      <c r="M504" s="16">
        <f t="shared" si="7"/>
        <v>58.35</v>
      </c>
      <c r="N504" s="1">
        <v>0</v>
      </c>
    </row>
    <row r="505" spans="1:14">
      <c r="A505" s="2">
        <v>45973</v>
      </c>
      <c r="B505" s="1">
        <v>1258</v>
      </c>
      <c r="C505" s="1">
        <v>70</v>
      </c>
      <c r="D505" s="1" t="s">
        <v>148</v>
      </c>
      <c r="E505" s="1" t="s">
        <v>29</v>
      </c>
      <c r="F505" s="1" t="s">
        <v>15</v>
      </c>
      <c r="G505" s="1">
        <v>31</v>
      </c>
      <c r="H505" s="1" t="str">
        <f>IF(I505="Apparel","Joggers",IF(I505="Beauty","Vitamin C Serum",IF(I505="Electronics","Wireless Earbuds",IF(I505="Home","LED Lamp",IF(I505="Sports","Water Bottle",IF(I505="Toys","RC Car",""))))))</f>
        <v>Water Bottle</v>
      </c>
      <c r="I505" s="1" t="s">
        <v>31</v>
      </c>
      <c r="J505" s="1">
        <v>1</v>
      </c>
      <c r="K505" s="1">
        <v>57.51</v>
      </c>
      <c r="L505" s="1">
        <v>0</v>
      </c>
      <c r="M505" s="16">
        <f t="shared" si="7"/>
        <v>57.51</v>
      </c>
      <c r="N505" s="1">
        <v>0</v>
      </c>
    </row>
    <row r="506" spans="1:14">
      <c r="A506" s="2">
        <v>45973</v>
      </c>
      <c r="B506" s="1">
        <v>1258</v>
      </c>
      <c r="C506" s="1">
        <v>70</v>
      </c>
      <c r="D506" s="1" t="s">
        <v>148</v>
      </c>
      <c r="E506" s="1" t="s">
        <v>29</v>
      </c>
      <c r="F506" s="1" t="s">
        <v>15</v>
      </c>
      <c r="G506" s="1">
        <v>31</v>
      </c>
      <c r="H506" s="1" t="s">
        <v>30</v>
      </c>
      <c r="I506" s="1" t="s">
        <v>31</v>
      </c>
      <c r="J506" s="1">
        <v>1</v>
      </c>
      <c r="K506" s="1">
        <v>57.51</v>
      </c>
      <c r="L506" s="1">
        <v>0</v>
      </c>
      <c r="M506" s="16">
        <f t="shared" si="7"/>
        <v>57.51</v>
      </c>
      <c r="N506" s="1">
        <v>0</v>
      </c>
    </row>
    <row r="507" spans="1:14">
      <c r="A507" s="2">
        <v>46017</v>
      </c>
      <c r="B507" s="1">
        <v>1331</v>
      </c>
      <c r="C507" s="1">
        <v>70</v>
      </c>
      <c r="D507" s="1" t="s">
        <v>148</v>
      </c>
      <c r="E507" s="1" t="s">
        <v>29</v>
      </c>
      <c r="F507" s="1" t="s">
        <v>15</v>
      </c>
      <c r="G507" s="1">
        <v>5</v>
      </c>
      <c r="H507" s="1" t="s">
        <v>38</v>
      </c>
      <c r="I507" s="1" t="s">
        <v>21</v>
      </c>
      <c r="J507" s="1">
        <v>3</v>
      </c>
      <c r="K507" s="1">
        <v>42.53</v>
      </c>
      <c r="L507" s="1">
        <v>0</v>
      </c>
      <c r="M507" s="16">
        <f t="shared" si="7"/>
        <v>127.59</v>
      </c>
      <c r="N507" s="1">
        <v>0</v>
      </c>
    </row>
    <row r="508" spans="1:14">
      <c r="A508" s="2">
        <v>46017</v>
      </c>
      <c r="B508" s="1">
        <v>1331</v>
      </c>
      <c r="C508" s="1">
        <v>70</v>
      </c>
      <c r="D508" s="1" t="s">
        <v>148</v>
      </c>
      <c r="E508" s="1" t="s">
        <v>29</v>
      </c>
      <c r="F508" s="1" t="s">
        <v>15</v>
      </c>
      <c r="G508" s="1">
        <v>20</v>
      </c>
      <c r="H508" s="1" t="s">
        <v>16</v>
      </c>
      <c r="I508" s="1" t="s">
        <v>17</v>
      </c>
      <c r="J508" s="1">
        <v>1</v>
      </c>
      <c r="K508" s="1">
        <v>32.76</v>
      </c>
      <c r="L508" s="1">
        <v>0</v>
      </c>
      <c r="M508" s="16">
        <f t="shared" si="7"/>
        <v>32.76</v>
      </c>
      <c r="N508" s="1">
        <v>0</v>
      </c>
    </row>
    <row r="509" spans="1:14">
      <c r="A509" s="2">
        <v>46235</v>
      </c>
      <c r="B509" s="1">
        <v>1380</v>
      </c>
      <c r="C509" s="1">
        <v>70</v>
      </c>
      <c r="D509" s="1" t="s">
        <v>148</v>
      </c>
      <c r="E509" s="1" t="s">
        <v>29</v>
      </c>
      <c r="F509" s="1" t="s">
        <v>15</v>
      </c>
      <c r="G509" s="1">
        <v>23</v>
      </c>
      <c r="H509" s="1" t="s">
        <v>98</v>
      </c>
      <c r="I509" s="1" t="s">
        <v>37</v>
      </c>
      <c r="J509" s="1">
        <v>1</v>
      </c>
      <c r="K509" s="1">
        <v>38.14</v>
      </c>
      <c r="L509" s="1">
        <v>10</v>
      </c>
      <c r="M509" s="16">
        <f t="shared" si="7"/>
        <v>34.326000000000001</v>
      </c>
      <c r="N509" s="1">
        <v>1</v>
      </c>
    </row>
    <row r="510" spans="1:14">
      <c r="A510" s="2">
        <v>46016</v>
      </c>
      <c r="B510" s="1">
        <v>1380</v>
      </c>
      <c r="C510" s="1">
        <v>70</v>
      </c>
      <c r="D510" s="1" t="s">
        <v>148</v>
      </c>
      <c r="E510" s="1" t="s">
        <v>29</v>
      </c>
      <c r="F510" s="1" t="s">
        <v>15</v>
      </c>
      <c r="G510" s="1">
        <v>40</v>
      </c>
      <c r="H510" s="1" t="s">
        <v>53</v>
      </c>
      <c r="I510" s="1" t="s">
        <v>27</v>
      </c>
      <c r="J510" s="1">
        <v>1</v>
      </c>
      <c r="K510" s="1">
        <v>47.25</v>
      </c>
      <c r="L510" s="1">
        <v>10</v>
      </c>
      <c r="M510" s="16">
        <f t="shared" si="7"/>
        <v>42.524999999999999</v>
      </c>
      <c r="N510" s="1">
        <v>0</v>
      </c>
    </row>
    <row r="511" spans="1:14">
      <c r="A511" s="2">
        <v>46076</v>
      </c>
      <c r="B511" s="1">
        <v>1524</v>
      </c>
      <c r="C511" s="1">
        <v>70</v>
      </c>
      <c r="D511" s="1" t="s">
        <v>148</v>
      </c>
      <c r="E511" s="1" t="s">
        <v>29</v>
      </c>
      <c r="F511" s="1" t="s">
        <v>15</v>
      </c>
      <c r="G511" s="1">
        <v>1</v>
      </c>
      <c r="H511" s="1" t="s">
        <v>20</v>
      </c>
      <c r="I511" s="1" t="s">
        <v>21</v>
      </c>
      <c r="J511" s="1">
        <v>1</v>
      </c>
      <c r="K511" s="1">
        <v>47.45</v>
      </c>
      <c r="L511" s="1">
        <v>0</v>
      </c>
      <c r="M511" s="16">
        <f t="shared" si="7"/>
        <v>47.45</v>
      </c>
      <c r="N511" s="1">
        <v>0</v>
      </c>
    </row>
    <row r="512" spans="1:14">
      <c r="A512" s="2">
        <v>46076</v>
      </c>
      <c r="B512" s="1">
        <v>1524</v>
      </c>
      <c r="C512" s="1">
        <v>70</v>
      </c>
      <c r="D512" s="1" t="s">
        <v>148</v>
      </c>
      <c r="E512" s="1" t="s">
        <v>29</v>
      </c>
      <c r="F512" s="1" t="s">
        <v>15</v>
      </c>
      <c r="G512" s="1">
        <v>32</v>
      </c>
      <c r="H512" s="1" t="s">
        <v>103</v>
      </c>
      <c r="I512" s="1" t="s">
        <v>31</v>
      </c>
      <c r="J512" s="1">
        <v>1</v>
      </c>
      <c r="K512" s="1">
        <v>61.06</v>
      </c>
      <c r="L512" s="1">
        <v>0</v>
      </c>
      <c r="M512" s="16">
        <f t="shared" si="7"/>
        <v>61.06</v>
      </c>
      <c r="N512" s="1">
        <v>0</v>
      </c>
    </row>
    <row r="513" spans="1:14">
      <c r="A513" s="2">
        <v>46076</v>
      </c>
      <c r="B513" s="1">
        <v>1524</v>
      </c>
      <c r="C513" s="1">
        <v>70</v>
      </c>
      <c r="D513" s="1" t="s">
        <v>148</v>
      </c>
      <c r="E513" s="1" t="s">
        <v>29</v>
      </c>
      <c r="F513" s="1" t="s">
        <v>15</v>
      </c>
      <c r="G513" s="1">
        <v>39</v>
      </c>
      <c r="H513" s="1" t="s">
        <v>36</v>
      </c>
      <c r="I513" s="1" t="s">
        <v>27</v>
      </c>
      <c r="J513" s="1">
        <v>1</v>
      </c>
      <c r="K513" s="1">
        <v>39.979999999999997</v>
      </c>
      <c r="L513" s="1">
        <v>0</v>
      </c>
      <c r="M513" s="16">
        <f t="shared" si="7"/>
        <v>39.979999999999997</v>
      </c>
      <c r="N513" s="1">
        <v>1</v>
      </c>
    </row>
    <row r="514" spans="1:14">
      <c r="A514" s="2">
        <v>46040</v>
      </c>
      <c r="B514" s="1">
        <v>1413</v>
      </c>
      <c r="C514" s="1">
        <v>71</v>
      </c>
      <c r="D514" s="1" t="s">
        <v>177</v>
      </c>
      <c r="E514" s="1" t="s">
        <v>68</v>
      </c>
      <c r="F514" s="1" t="s">
        <v>15</v>
      </c>
      <c r="G514" s="1">
        <v>38</v>
      </c>
      <c r="H514" s="1" t="s">
        <v>70</v>
      </c>
      <c r="I514" s="1" t="s">
        <v>27</v>
      </c>
      <c r="J514" s="1">
        <v>1</v>
      </c>
      <c r="K514" s="1">
        <v>25.14</v>
      </c>
      <c r="L514" s="1">
        <v>0</v>
      </c>
      <c r="M514" s="16">
        <f t="shared" si="7"/>
        <v>25.14</v>
      </c>
      <c r="N514" s="1">
        <v>0</v>
      </c>
    </row>
    <row r="515" spans="1:14">
      <c r="A515" s="2">
        <v>45979</v>
      </c>
      <c r="B515" s="1">
        <v>1146</v>
      </c>
      <c r="C515" s="1">
        <v>72</v>
      </c>
      <c r="D515" s="1" t="s">
        <v>137</v>
      </c>
      <c r="E515" s="1" t="s">
        <v>40</v>
      </c>
      <c r="F515" s="1" t="s">
        <v>55</v>
      </c>
      <c r="G515" s="1">
        <v>31</v>
      </c>
      <c r="H515" s="1" t="s">
        <v>30</v>
      </c>
      <c r="I515" s="1" t="s">
        <v>31</v>
      </c>
      <c r="J515" s="1">
        <v>1</v>
      </c>
      <c r="K515" s="1">
        <v>57.51</v>
      </c>
      <c r="L515" s="1">
        <v>0</v>
      </c>
      <c r="M515" s="16">
        <f t="shared" ref="M515:M578" si="8">J515*K515*(1-L515/100)</f>
        <v>57.51</v>
      </c>
      <c r="N515" s="1">
        <v>0</v>
      </c>
    </row>
    <row r="516" spans="1:14">
      <c r="A516" s="2">
        <v>45881</v>
      </c>
      <c r="B516" s="1">
        <v>1238</v>
      </c>
      <c r="C516" s="1">
        <v>72</v>
      </c>
      <c r="D516" s="1" t="s">
        <v>137</v>
      </c>
      <c r="E516" s="1" t="s">
        <v>40</v>
      </c>
      <c r="F516" s="1" t="s">
        <v>55</v>
      </c>
      <c r="G516" s="1">
        <v>12</v>
      </c>
      <c r="H516" s="1" t="s">
        <v>215</v>
      </c>
      <c r="I516" s="1" t="s">
        <v>33</v>
      </c>
      <c r="J516" s="1">
        <v>1</v>
      </c>
      <c r="K516" s="1">
        <v>8.4499999999999993</v>
      </c>
      <c r="L516" s="1">
        <v>0</v>
      </c>
      <c r="M516" s="16">
        <f t="shared" si="8"/>
        <v>8.4499999999999993</v>
      </c>
      <c r="N516" s="1">
        <v>0</v>
      </c>
    </row>
    <row r="517" spans="1:14">
      <c r="A517" s="2">
        <v>45881</v>
      </c>
      <c r="B517" s="1">
        <v>1238</v>
      </c>
      <c r="C517" s="1">
        <v>72</v>
      </c>
      <c r="D517" s="1" t="s">
        <v>137</v>
      </c>
      <c r="E517" s="1" t="s">
        <v>40</v>
      </c>
      <c r="F517" s="1" t="s">
        <v>55</v>
      </c>
      <c r="G517" s="1">
        <v>3</v>
      </c>
      <c r="H517" s="1" t="s">
        <v>59</v>
      </c>
      <c r="I517" s="1" t="s">
        <v>21</v>
      </c>
      <c r="J517" s="1">
        <v>3</v>
      </c>
      <c r="K517" s="1">
        <v>25.47</v>
      </c>
      <c r="L517" s="1">
        <v>0</v>
      </c>
      <c r="M517" s="16">
        <f t="shared" si="8"/>
        <v>76.41</v>
      </c>
      <c r="N517" s="1">
        <v>1</v>
      </c>
    </row>
    <row r="518" spans="1:14">
      <c r="A518" s="2">
        <v>45881</v>
      </c>
      <c r="B518" s="1">
        <v>1238</v>
      </c>
      <c r="C518" s="1">
        <v>72</v>
      </c>
      <c r="D518" s="1" t="s">
        <v>137</v>
      </c>
      <c r="E518" s="1" t="s">
        <v>40</v>
      </c>
      <c r="F518" s="1" t="s">
        <v>55</v>
      </c>
      <c r="G518" s="1">
        <v>34</v>
      </c>
      <c r="H518" s="1" t="s">
        <v>130</v>
      </c>
      <c r="I518" s="1" t="s">
        <v>31</v>
      </c>
      <c r="J518" s="1">
        <v>2</v>
      </c>
      <c r="K518" s="1">
        <v>58.26</v>
      </c>
      <c r="L518" s="1">
        <v>0</v>
      </c>
      <c r="M518" s="16">
        <f t="shared" si="8"/>
        <v>116.52</v>
      </c>
      <c r="N518" s="1">
        <v>0</v>
      </c>
    </row>
    <row r="519" spans="1:14">
      <c r="A519" s="2">
        <v>46006</v>
      </c>
      <c r="B519" s="1">
        <v>1283</v>
      </c>
      <c r="C519" s="1">
        <v>72</v>
      </c>
      <c r="D519" s="1" t="s">
        <v>137</v>
      </c>
      <c r="E519" s="1" t="s">
        <v>40</v>
      </c>
      <c r="F519" s="1" t="s">
        <v>55</v>
      </c>
      <c r="G519" s="1">
        <v>6</v>
      </c>
      <c r="H519" s="1" t="s">
        <v>99</v>
      </c>
      <c r="I519" s="1" t="s">
        <v>21</v>
      </c>
      <c r="J519" s="1">
        <v>1</v>
      </c>
      <c r="K519" s="1">
        <v>70.47</v>
      </c>
      <c r="L519" s="1">
        <v>0</v>
      </c>
      <c r="M519" s="16">
        <f t="shared" si="8"/>
        <v>70.47</v>
      </c>
      <c r="N519" s="1">
        <v>0</v>
      </c>
    </row>
    <row r="520" spans="1:14">
      <c r="A520" s="2">
        <v>46019</v>
      </c>
      <c r="B520" s="1">
        <v>1343</v>
      </c>
      <c r="C520" s="1">
        <v>72</v>
      </c>
      <c r="D520" s="1" t="s">
        <v>137</v>
      </c>
      <c r="E520" s="1" t="s">
        <v>40</v>
      </c>
      <c r="F520" s="1" t="s">
        <v>55</v>
      </c>
      <c r="G520" s="1">
        <v>40</v>
      </c>
      <c r="H520" s="1" t="s">
        <v>53</v>
      </c>
      <c r="I520" s="1" t="s">
        <v>27</v>
      </c>
      <c r="J520" s="1">
        <v>1</v>
      </c>
      <c r="K520" s="1">
        <v>47.25</v>
      </c>
      <c r="L520" s="1">
        <v>0</v>
      </c>
      <c r="M520" s="16">
        <f t="shared" si="8"/>
        <v>47.25</v>
      </c>
      <c r="N520" s="1">
        <v>0</v>
      </c>
    </row>
    <row r="521" spans="1:14">
      <c r="A521" s="2">
        <v>45989</v>
      </c>
      <c r="B521" s="1">
        <v>1190</v>
      </c>
      <c r="C521" s="1">
        <v>73</v>
      </c>
      <c r="D521" s="1" t="s">
        <v>149</v>
      </c>
      <c r="E521" s="1" t="s">
        <v>68</v>
      </c>
      <c r="F521" s="1" t="s">
        <v>55</v>
      </c>
      <c r="G521" s="1">
        <v>21</v>
      </c>
      <c r="H521" s="1" t="s">
        <v>97</v>
      </c>
      <c r="I521" s="1" t="s">
        <v>17</v>
      </c>
      <c r="J521" s="1">
        <v>2</v>
      </c>
      <c r="K521" s="1">
        <v>49.37</v>
      </c>
      <c r="L521" s="1">
        <v>0</v>
      </c>
      <c r="M521" s="16">
        <f t="shared" si="8"/>
        <v>98.74</v>
      </c>
      <c r="N521" s="1">
        <v>0</v>
      </c>
    </row>
    <row r="522" spans="1:14">
      <c r="A522" s="2">
        <v>46013</v>
      </c>
      <c r="B522" s="1">
        <v>1308</v>
      </c>
      <c r="C522" s="1">
        <v>74</v>
      </c>
      <c r="D522" s="1" t="s">
        <v>168</v>
      </c>
      <c r="E522" s="1" t="s">
        <v>68</v>
      </c>
      <c r="F522" s="1" t="s">
        <v>19</v>
      </c>
      <c r="G522" s="1">
        <v>23</v>
      </c>
      <c r="H522" s="1" t="s">
        <v>98</v>
      </c>
      <c r="I522" s="1" t="s">
        <v>37</v>
      </c>
      <c r="J522" s="1">
        <v>1</v>
      </c>
      <c r="K522" s="1">
        <v>38.14</v>
      </c>
      <c r="L522" s="1">
        <v>0</v>
      </c>
      <c r="M522" s="16">
        <f t="shared" si="8"/>
        <v>38.14</v>
      </c>
      <c r="N522" s="1">
        <v>0</v>
      </c>
    </row>
    <row r="523" spans="1:14">
      <c r="A523" s="2">
        <v>46013</v>
      </c>
      <c r="B523" s="1">
        <v>1308</v>
      </c>
      <c r="C523" s="1">
        <v>74</v>
      </c>
      <c r="D523" s="1" t="s">
        <v>168</v>
      </c>
      <c r="E523" s="1" t="s">
        <v>68</v>
      </c>
      <c r="F523" s="1" t="s">
        <v>19</v>
      </c>
      <c r="G523" s="1">
        <v>40</v>
      </c>
      <c r="H523" s="1" t="s">
        <v>53</v>
      </c>
      <c r="I523" s="1" t="s">
        <v>27</v>
      </c>
      <c r="J523" s="1">
        <v>3</v>
      </c>
      <c r="K523" s="1">
        <v>47.25</v>
      </c>
      <c r="L523" s="1">
        <v>0</v>
      </c>
      <c r="M523" s="16">
        <f t="shared" si="8"/>
        <v>141.75</v>
      </c>
      <c r="N523" s="1">
        <v>0</v>
      </c>
    </row>
    <row r="524" spans="1:14">
      <c r="A524" s="2">
        <v>46013</v>
      </c>
      <c r="B524" s="1">
        <v>1308</v>
      </c>
      <c r="C524" s="1">
        <v>74</v>
      </c>
      <c r="D524" s="1" t="s">
        <v>168</v>
      </c>
      <c r="E524" s="1" t="s">
        <v>68</v>
      </c>
      <c r="F524" s="1" t="s">
        <v>19</v>
      </c>
      <c r="G524" s="1">
        <v>22</v>
      </c>
      <c r="H524" s="1" t="s">
        <v>75</v>
      </c>
      <c r="I524" s="1" t="s">
        <v>17</v>
      </c>
      <c r="J524" s="1">
        <v>1</v>
      </c>
      <c r="K524" s="1">
        <v>29.98</v>
      </c>
      <c r="L524" s="1">
        <v>0</v>
      </c>
      <c r="M524" s="16">
        <f t="shared" si="8"/>
        <v>29.98</v>
      </c>
      <c r="N524" s="1">
        <v>0</v>
      </c>
    </row>
    <row r="525" spans="1:14">
      <c r="A525" s="2">
        <v>46013</v>
      </c>
      <c r="B525" s="1">
        <v>1308</v>
      </c>
      <c r="C525" s="1">
        <v>74</v>
      </c>
      <c r="D525" s="1" t="s">
        <v>168</v>
      </c>
      <c r="E525" s="1" t="s">
        <v>68</v>
      </c>
      <c r="F525" s="1" t="s">
        <v>35</v>
      </c>
      <c r="G525" s="1">
        <v>37</v>
      </c>
      <c r="H525" s="1" t="s">
        <v>26</v>
      </c>
      <c r="I525" s="1" t="s">
        <v>27</v>
      </c>
      <c r="J525" s="1">
        <v>2</v>
      </c>
      <c r="K525" s="1">
        <v>52.67</v>
      </c>
      <c r="L525" s="1">
        <v>0</v>
      </c>
      <c r="M525" s="16">
        <f t="shared" si="8"/>
        <v>105.34</v>
      </c>
      <c r="N525" s="1">
        <v>0</v>
      </c>
    </row>
    <row r="526" spans="1:14">
      <c r="A526" s="2">
        <v>45819</v>
      </c>
      <c r="B526" s="1">
        <v>1084</v>
      </c>
      <c r="C526" s="1">
        <v>75</v>
      </c>
      <c r="D526" s="1" t="s">
        <v>115</v>
      </c>
      <c r="E526" s="1" t="s">
        <v>14</v>
      </c>
      <c r="F526" s="1" t="s">
        <v>35</v>
      </c>
      <c r="G526" s="1">
        <v>17</v>
      </c>
      <c r="H526" s="1" t="s">
        <v>60</v>
      </c>
      <c r="I526" s="1" t="s">
        <v>17</v>
      </c>
      <c r="J526" s="1">
        <v>2</v>
      </c>
      <c r="K526" s="1">
        <v>6.61</v>
      </c>
      <c r="L526" s="1">
        <v>0</v>
      </c>
      <c r="M526" s="16">
        <f t="shared" si="8"/>
        <v>13.22</v>
      </c>
      <c r="N526" s="1">
        <v>0</v>
      </c>
    </row>
    <row r="527" spans="1:14">
      <c r="A527" s="2">
        <v>45819</v>
      </c>
      <c r="B527" s="1">
        <v>1084</v>
      </c>
      <c r="C527" s="1">
        <v>75</v>
      </c>
      <c r="D527" s="1" t="s">
        <v>115</v>
      </c>
      <c r="E527" s="1" t="s">
        <v>14</v>
      </c>
      <c r="F527" s="1" t="s">
        <v>35</v>
      </c>
      <c r="G527" s="1">
        <v>32</v>
      </c>
      <c r="H527" s="1" t="str">
        <f>IF(I527="Apparel","Joggers",IF(I527="Beauty","Vitamin C Serum",IF(I527="Electronics","Wireless Earbuds",IF(I527="Home","LED Lamp",IF(I527="Sports","Water Bottle",IF(I527="Toys","RC Car",""))))))</f>
        <v>Water Bottle</v>
      </c>
      <c r="I527" s="1" t="s">
        <v>31</v>
      </c>
      <c r="J527" s="1">
        <v>1</v>
      </c>
      <c r="K527" s="1">
        <v>61.06</v>
      </c>
      <c r="L527" s="1">
        <v>5</v>
      </c>
      <c r="M527" s="16">
        <f t="shared" si="8"/>
        <v>58.006999999999998</v>
      </c>
      <c r="N527" s="1">
        <v>0</v>
      </c>
    </row>
    <row r="528" spans="1:14">
      <c r="A528" s="2">
        <v>45986</v>
      </c>
      <c r="B528" s="1">
        <v>1175</v>
      </c>
      <c r="C528" s="1">
        <v>75</v>
      </c>
      <c r="D528" s="1" t="s">
        <v>115</v>
      </c>
      <c r="E528" s="1" t="s">
        <v>14</v>
      </c>
      <c r="F528" s="1" t="s">
        <v>35</v>
      </c>
      <c r="G528" s="1">
        <v>4</v>
      </c>
      <c r="H528" s="1" t="s">
        <v>92</v>
      </c>
      <c r="I528" s="1" t="s">
        <v>21</v>
      </c>
      <c r="J528" s="1">
        <v>1</v>
      </c>
      <c r="K528" s="1">
        <v>34.83</v>
      </c>
      <c r="L528" s="1">
        <v>5.5</v>
      </c>
      <c r="M528" s="16">
        <f t="shared" si="8"/>
        <v>32.914349999999999</v>
      </c>
      <c r="N528" s="1">
        <v>0</v>
      </c>
    </row>
    <row r="529" spans="1:14">
      <c r="A529" s="2">
        <v>45989</v>
      </c>
      <c r="B529" s="1">
        <v>1191</v>
      </c>
      <c r="C529" s="1">
        <v>75</v>
      </c>
      <c r="D529" s="1" t="s">
        <v>115</v>
      </c>
      <c r="E529" s="1" t="s">
        <v>14</v>
      </c>
      <c r="F529" s="1" t="s">
        <v>35</v>
      </c>
      <c r="G529" s="1">
        <v>27</v>
      </c>
      <c r="H529" s="1" t="str">
        <f>IF(I529="Apparel","Joggers",IF(I529="Beauty","Vitamin C Serum",IF(I529="Electronics","Wireless Earbuds",IF(I529="Home","LED Lamp",IF(I529="Sports","Water Bottle",IF(I529="Toys","RC Car",""))))))</f>
        <v>Vitamin C Serum</v>
      </c>
      <c r="I529" s="1" t="s">
        <v>37</v>
      </c>
      <c r="J529" s="1">
        <v>1</v>
      </c>
      <c r="K529" s="1">
        <v>27.3</v>
      </c>
      <c r="L529" s="1">
        <v>15</v>
      </c>
      <c r="M529" s="16">
        <f t="shared" si="8"/>
        <v>23.204999999999998</v>
      </c>
      <c r="N529" s="1">
        <v>0</v>
      </c>
    </row>
    <row r="530" spans="1:14">
      <c r="A530" s="2">
        <v>45989</v>
      </c>
      <c r="B530" s="1">
        <v>1191</v>
      </c>
      <c r="C530" s="1">
        <v>75</v>
      </c>
      <c r="D530" s="1" t="s">
        <v>115</v>
      </c>
      <c r="E530" s="1" t="s">
        <v>14</v>
      </c>
      <c r="F530" s="1" t="s">
        <v>35</v>
      </c>
      <c r="G530" s="1">
        <v>19</v>
      </c>
      <c r="H530" s="1" t="s">
        <v>64</v>
      </c>
      <c r="I530" s="1" t="s">
        <v>17</v>
      </c>
      <c r="J530" s="1">
        <v>1</v>
      </c>
      <c r="K530" s="1">
        <v>50.14</v>
      </c>
      <c r="L530" s="1">
        <v>15</v>
      </c>
      <c r="M530" s="16">
        <f t="shared" si="8"/>
        <v>42.619</v>
      </c>
      <c r="N530" s="1">
        <v>0</v>
      </c>
    </row>
    <row r="531" spans="1:14">
      <c r="A531" s="2">
        <v>45912</v>
      </c>
      <c r="B531" s="1">
        <v>1245</v>
      </c>
      <c r="C531" s="1">
        <v>75</v>
      </c>
      <c r="D531" s="1" t="s">
        <v>115</v>
      </c>
      <c r="E531" s="1" t="s">
        <v>14</v>
      </c>
      <c r="F531" s="1" t="s">
        <v>35</v>
      </c>
      <c r="G531" s="1">
        <v>23</v>
      </c>
      <c r="H531" s="1" t="s">
        <v>98</v>
      </c>
      <c r="I531" s="1" t="s">
        <v>37</v>
      </c>
      <c r="J531" s="1">
        <v>1</v>
      </c>
      <c r="K531" s="1">
        <v>38.14</v>
      </c>
      <c r="L531" s="1">
        <v>20</v>
      </c>
      <c r="M531" s="16">
        <f t="shared" si="8"/>
        <v>30.512</v>
      </c>
      <c r="N531" s="1">
        <v>0</v>
      </c>
    </row>
    <row r="532" spans="1:14">
      <c r="A532" s="2">
        <v>45912</v>
      </c>
      <c r="B532" s="1">
        <v>1245</v>
      </c>
      <c r="C532" s="1">
        <v>75</v>
      </c>
      <c r="D532" s="1" t="s">
        <v>115</v>
      </c>
      <c r="E532" s="1" t="s">
        <v>14</v>
      </c>
      <c r="F532" s="1" t="s">
        <v>35</v>
      </c>
      <c r="G532" s="1">
        <v>6</v>
      </c>
      <c r="H532" s="1" t="s">
        <v>99</v>
      </c>
      <c r="I532" s="1" t="s">
        <v>21</v>
      </c>
      <c r="J532" s="1">
        <v>1</v>
      </c>
      <c r="K532" s="1">
        <v>70.47</v>
      </c>
      <c r="L532" s="1">
        <v>15</v>
      </c>
      <c r="M532" s="16">
        <f t="shared" si="8"/>
        <v>59.899499999999996</v>
      </c>
      <c r="N532" s="1">
        <v>0</v>
      </c>
    </row>
    <row r="533" spans="1:14">
      <c r="A533" s="2">
        <v>45912</v>
      </c>
      <c r="B533" s="1">
        <v>1245</v>
      </c>
      <c r="C533" s="1">
        <v>75</v>
      </c>
      <c r="D533" s="1" t="s">
        <v>115</v>
      </c>
      <c r="E533" s="1" t="s">
        <v>14</v>
      </c>
      <c r="F533" s="1" t="s">
        <v>35</v>
      </c>
      <c r="G533" s="1">
        <v>26</v>
      </c>
      <c r="H533" s="1" t="s">
        <v>83</v>
      </c>
      <c r="I533" s="1" t="s">
        <v>37</v>
      </c>
      <c r="J533" s="1">
        <v>1</v>
      </c>
      <c r="K533" s="1">
        <v>31.76</v>
      </c>
      <c r="L533" s="1">
        <v>20</v>
      </c>
      <c r="M533" s="16">
        <f t="shared" si="8"/>
        <v>25.408000000000001</v>
      </c>
      <c r="N533" s="1">
        <v>0</v>
      </c>
    </row>
    <row r="534" spans="1:14">
      <c r="A534" s="2">
        <v>46235</v>
      </c>
      <c r="B534" s="1">
        <v>1381</v>
      </c>
      <c r="C534" s="1">
        <v>75</v>
      </c>
      <c r="D534" s="1" t="s">
        <v>115</v>
      </c>
      <c r="E534" s="1" t="s">
        <v>14</v>
      </c>
      <c r="F534" s="1" t="s">
        <v>35</v>
      </c>
      <c r="G534" s="1">
        <v>27</v>
      </c>
      <c r="H534" s="1" t="s">
        <v>89</v>
      </c>
      <c r="I534" s="1" t="s">
        <v>37</v>
      </c>
      <c r="J534" s="1">
        <v>3</v>
      </c>
      <c r="K534" s="1">
        <v>27.3</v>
      </c>
      <c r="L534" s="1">
        <v>0</v>
      </c>
      <c r="M534" s="16">
        <f t="shared" si="8"/>
        <v>81.900000000000006</v>
      </c>
      <c r="N534" s="1">
        <v>0</v>
      </c>
    </row>
    <row r="535" spans="1:14">
      <c r="A535" s="2">
        <v>46114</v>
      </c>
      <c r="B535" s="1">
        <v>1452</v>
      </c>
      <c r="C535" s="1">
        <v>75</v>
      </c>
      <c r="D535" s="1" t="s">
        <v>115</v>
      </c>
      <c r="E535" s="1" t="s">
        <v>14</v>
      </c>
      <c r="F535" s="1" t="s">
        <v>35</v>
      </c>
      <c r="G535" s="1">
        <v>28</v>
      </c>
      <c r="H535" s="1" t="s">
        <v>51</v>
      </c>
      <c r="I535" s="1" t="s">
        <v>37</v>
      </c>
      <c r="J535" s="1">
        <v>2</v>
      </c>
      <c r="K535" s="1">
        <v>21.24</v>
      </c>
      <c r="L535" s="1">
        <v>5</v>
      </c>
      <c r="M535" s="16">
        <f t="shared" si="8"/>
        <v>40.355999999999995</v>
      </c>
      <c r="N535" s="1">
        <v>0</v>
      </c>
    </row>
    <row r="536" spans="1:14">
      <c r="A536" s="2">
        <v>46205</v>
      </c>
      <c r="B536" s="1">
        <v>1461</v>
      </c>
      <c r="C536" s="1">
        <v>75</v>
      </c>
      <c r="D536" s="1" t="s">
        <v>115</v>
      </c>
      <c r="E536" s="1" t="s">
        <v>14</v>
      </c>
      <c r="F536" s="1" t="s">
        <v>35</v>
      </c>
      <c r="G536" s="1">
        <v>11</v>
      </c>
      <c r="H536" s="1" t="s">
        <v>65</v>
      </c>
      <c r="I536" s="1" t="s">
        <v>33</v>
      </c>
      <c r="J536" s="1">
        <v>3</v>
      </c>
      <c r="K536" s="1">
        <v>58.35</v>
      </c>
      <c r="L536" s="1">
        <v>0</v>
      </c>
      <c r="M536" s="16">
        <f t="shared" si="8"/>
        <v>175.05</v>
      </c>
      <c r="N536" s="1">
        <v>0</v>
      </c>
    </row>
    <row r="537" spans="1:14">
      <c r="A537" s="2">
        <v>46205</v>
      </c>
      <c r="B537" s="1">
        <v>1461</v>
      </c>
      <c r="C537" s="1">
        <v>75</v>
      </c>
      <c r="D537" s="1" t="s">
        <v>115</v>
      </c>
      <c r="E537" s="1" t="s">
        <v>14</v>
      </c>
      <c r="F537" s="1" t="s">
        <v>35</v>
      </c>
      <c r="G537" s="1">
        <v>34</v>
      </c>
      <c r="H537" s="1" t="s">
        <v>130</v>
      </c>
      <c r="I537" s="1" t="s">
        <v>31</v>
      </c>
      <c r="J537" s="1">
        <v>1</v>
      </c>
      <c r="K537" s="1">
        <v>58.26</v>
      </c>
      <c r="L537" s="1">
        <v>10</v>
      </c>
      <c r="M537" s="16">
        <f t="shared" si="8"/>
        <v>52.433999999999997</v>
      </c>
      <c r="N537" s="1">
        <v>0</v>
      </c>
    </row>
    <row r="538" spans="1:14">
      <c r="A538" s="2">
        <v>46016</v>
      </c>
      <c r="B538" s="1">
        <v>1461</v>
      </c>
      <c r="C538" s="1">
        <v>75</v>
      </c>
      <c r="D538" s="1" t="s">
        <v>115</v>
      </c>
      <c r="E538" s="1" t="s">
        <v>14</v>
      </c>
      <c r="F538" s="1" t="s">
        <v>35</v>
      </c>
      <c r="G538" s="1">
        <v>38</v>
      </c>
      <c r="H538" s="1" t="s">
        <v>70</v>
      </c>
      <c r="I538" s="1" t="s">
        <v>27</v>
      </c>
      <c r="J538" s="1">
        <v>1</v>
      </c>
      <c r="K538" s="1">
        <v>25.14</v>
      </c>
      <c r="L538" s="1">
        <v>0</v>
      </c>
      <c r="M538" s="16">
        <f t="shared" si="8"/>
        <v>25.14</v>
      </c>
      <c r="N538" s="1">
        <v>1</v>
      </c>
    </row>
    <row r="539" spans="1:14">
      <c r="A539" s="2">
        <v>46080</v>
      </c>
      <c r="B539" s="1">
        <v>1537</v>
      </c>
      <c r="C539" s="1">
        <v>75</v>
      </c>
      <c r="D539" s="1" t="s">
        <v>115</v>
      </c>
      <c r="E539" s="1" t="s">
        <v>14</v>
      </c>
      <c r="F539" s="1" t="s">
        <v>35</v>
      </c>
      <c r="G539" s="1">
        <v>16</v>
      </c>
      <c r="H539" s="1" t="s">
        <v>77</v>
      </c>
      <c r="I539" s="1" t="s">
        <v>17</v>
      </c>
      <c r="J539" s="1">
        <v>1</v>
      </c>
      <c r="K539" s="1">
        <v>11.81</v>
      </c>
      <c r="L539" s="1">
        <v>0</v>
      </c>
      <c r="M539" s="16">
        <f t="shared" si="8"/>
        <v>11.81</v>
      </c>
      <c r="N539" s="1">
        <v>0</v>
      </c>
    </row>
    <row r="540" spans="1:14">
      <c r="A540" s="2">
        <v>46030</v>
      </c>
      <c r="B540" s="1">
        <v>1381</v>
      </c>
      <c r="C540" s="1">
        <f>_xlfn.XLOOKUP(D540,'Customer Data'!B:B,'Customer Data'!A:A,"Not Found")</f>
        <v>75</v>
      </c>
      <c r="D540" s="1" t="s">
        <v>115</v>
      </c>
      <c r="E540" s="1" t="s">
        <v>14</v>
      </c>
      <c r="F540" s="1" t="s">
        <v>35</v>
      </c>
      <c r="G540" s="1">
        <v>30</v>
      </c>
      <c r="H540" s="1" t="s">
        <v>57</v>
      </c>
      <c r="I540" s="1" t="s">
        <v>31</v>
      </c>
      <c r="J540" s="1">
        <v>1</v>
      </c>
      <c r="K540" s="1">
        <v>41.49</v>
      </c>
      <c r="L540" s="1">
        <v>0</v>
      </c>
      <c r="M540" s="16">
        <f t="shared" si="8"/>
        <v>41.49</v>
      </c>
      <c r="N540" s="1">
        <v>1</v>
      </c>
    </row>
    <row r="541" spans="1:14">
      <c r="A541" s="2">
        <v>46358</v>
      </c>
      <c r="B541" s="1">
        <v>1480</v>
      </c>
      <c r="C541" s="1">
        <f>_xlfn.XLOOKUP(D541,'Customer Data'!B:B,'Customer Data'!A:A,"Not Found")</f>
        <v>75</v>
      </c>
      <c r="D541" s="1" t="s">
        <v>115</v>
      </c>
      <c r="E541" s="1" t="s">
        <v>14</v>
      </c>
      <c r="F541" s="1" t="s">
        <v>35</v>
      </c>
      <c r="G541" s="1">
        <v>18</v>
      </c>
      <c r="H541" s="1" t="s">
        <v>23</v>
      </c>
      <c r="I541" s="1" t="s">
        <v>17</v>
      </c>
      <c r="J541" s="1">
        <v>1</v>
      </c>
      <c r="K541" s="1">
        <v>44.01</v>
      </c>
      <c r="L541" s="1">
        <v>0</v>
      </c>
      <c r="M541" s="16">
        <f t="shared" si="8"/>
        <v>44.01</v>
      </c>
      <c r="N541" s="1">
        <v>0</v>
      </c>
    </row>
    <row r="542" spans="1:14">
      <c r="A542" s="2">
        <v>45975</v>
      </c>
      <c r="B542" s="1">
        <v>1126</v>
      </c>
      <c r="C542" s="1">
        <v>76</v>
      </c>
      <c r="D542" s="1" t="s">
        <v>132</v>
      </c>
      <c r="E542" s="1" t="s">
        <v>29</v>
      </c>
      <c r="F542" s="1" t="s">
        <v>41</v>
      </c>
      <c r="G542" s="1">
        <v>28</v>
      </c>
      <c r="H542" s="1" t="s">
        <v>51</v>
      </c>
      <c r="I542" s="1" t="s">
        <v>37</v>
      </c>
      <c r="J542" s="1">
        <v>1</v>
      </c>
      <c r="K542" s="1">
        <v>21.24</v>
      </c>
      <c r="L542" s="1">
        <v>0</v>
      </c>
      <c r="M542" s="16">
        <f t="shared" si="8"/>
        <v>21.24</v>
      </c>
      <c r="N542" s="1">
        <v>1</v>
      </c>
    </row>
    <row r="543" spans="1:14">
      <c r="A543" s="2">
        <v>45984</v>
      </c>
      <c r="B543" s="1">
        <v>1168</v>
      </c>
      <c r="C543" s="1">
        <v>76</v>
      </c>
      <c r="D543" s="1" t="s">
        <v>132</v>
      </c>
      <c r="E543" s="1" t="s">
        <v>29</v>
      </c>
      <c r="F543" s="1" t="s">
        <v>41</v>
      </c>
      <c r="G543" s="1">
        <v>18</v>
      </c>
      <c r="H543" s="1" t="s">
        <v>23</v>
      </c>
      <c r="I543" s="1" t="s">
        <v>17</v>
      </c>
      <c r="J543" s="1">
        <v>2</v>
      </c>
      <c r="K543" s="1">
        <v>44.01</v>
      </c>
      <c r="L543" s="1">
        <v>0</v>
      </c>
      <c r="M543" s="16">
        <f t="shared" si="8"/>
        <v>88.02</v>
      </c>
      <c r="N543" s="1">
        <v>0</v>
      </c>
    </row>
    <row r="544" spans="1:14">
      <c r="A544" s="2">
        <v>45948</v>
      </c>
      <c r="B544" s="1">
        <v>1025</v>
      </c>
      <c r="C544" s="1">
        <v>77</v>
      </c>
      <c r="D544" s="1" t="s">
        <v>73</v>
      </c>
      <c r="E544" s="1" t="s">
        <v>14</v>
      </c>
      <c r="F544" s="1" t="s">
        <v>74</v>
      </c>
      <c r="G544" s="1">
        <v>7</v>
      </c>
      <c r="H544" s="1" t="s">
        <v>46</v>
      </c>
      <c r="I544" s="1" t="s">
        <v>21</v>
      </c>
      <c r="J544" s="1">
        <v>1</v>
      </c>
      <c r="K544" s="1">
        <v>79.39</v>
      </c>
      <c r="L544" s="1">
        <v>0</v>
      </c>
      <c r="M544" s="16">
        <f t="shared" si="8"/>
        <v>79.39</v>
      </c>
      <c r="N544" s="1">
        <v>0</v>
      </c>
    </row>
    <row r="545" spans="1:14">
      <c r="A545" s="2">
        <v>45699</v>
      </c>
      <c r="B545" s="1">
        <v>1071</v>
      </c>
      <c r="C545" s="1">
        <v>77</v>
      </c>
      <c r="D545" s="1" t="s">
        <v>73</v>
      </c>
      <c r="E545" s="1" t="s">
        <v>14</v>
      </c>
      <c r="F545" s="1" t="s">
        <v>74</v>
      </c>
      <c r="G545" s="1">
        <v>40</v>
      </c>
      <c r="H545" s="1" t="s">
        <v>53</v>
      </c>
      <c r="I545" s="1" t="s">
        <v>27</v>
      </c>
      <c r="J545" s="1">
        <v>2</v>
      </c>
      <c r="K545" s="1">
        <v>47.25</v>
      </c>
      <c r="L545" s="1">
        <v>0</v>
      </c>
      <c r="M545" s="16">
        <f t="shared" si="8"/>
        <v>94.5</v>
      </c>
      <c r="N545" s="1">
        <v>0</v>
      </c>
    </row>
    <row r="546" spans="1:14">
      <c r="A546" s="2">
        <v>45699</v>
      </c>
      <c r="B546" s="1">
        <v>1071</v>
      </c>
      <c r="C546" s="1">
        <v>77</v>
      </c>
      <c r="D546" s="1" t="s">
        <v>73</v>
      </c>
      <c r="E546" s="1" t="s">
        <v>14</v>
      </c>
      <c r="F546" s="1" t="s">
        <v>35</v>
      </c>
      <c r="G546" s="1">
        <v>10</v>
      </c>
      <c r="H546" s="1" t="s">
        <v>32</v>
      </c>
      <c r="I546" s="1" t="s">
        <v>33</v>
      </c>
      <c r="J546" s="1">
        <v>3</v>
      </c>
      <c r="K546" s="1">
        <v>62.68</v>
      </c>
      <c r="L546" s="1">
        <v>0</v>
      </c>
      <c r="M546" s="16">
        <f t="shared" si="8"/>
        <v>188.04</v>
      </c>
      <c r="N546" s="1">
        <v>0</v>
      </c>
    </row>
    <row r="547" spans="1:14">
      <c r="A547" s="2">
        <v>45788</v>
      </c>
      <c r="B547" s="1">
        <v>1044</v>
      </c>
      <c r="C547" s="1">
        <v>77</v>
      </c>
      <c r="D547" s="1" t="s">
        <v>73</v>
      </c>
      <c r="E547" s="1" t="s">
        <v>14</v>
      </c>
      <c r="F547" s="1" t="s">
        <v>74</v>
      </c>
      <c r="G547" s="1">
        <v>17</v>
      </c>
      <c r="H547" s="1" t="s">
        <v>60</v>
      </c>
      <c r="I547" s="14" t="str">
        <f>_xlfn.XLOOKUP(H547,'Product Data'!$B$2:$B$100,'Product Data'!$C$2:$C$100,"Not Found")</f>
        <v>Home</v>
      </c>
      <c r="J547" s="1">
        <v>1</v>
      </c>
      <c r="K547" s="1">
        <v>6.61</v>
      </c>
      <c r="L547" s="1">
        <v>5</v>
      </c>
      <c r="M547" s="16">
        <f t="shared" si="8"/>
        <v>6.2794999999999996</v>
      </c>
      <c r="N547" s="1">
        <v>0</v>
      </c>
    </row>
    <row r="548" spans="1:14">
      <c r="A548" s="2">
        <v>45972</v>
      </c>
      <c r="B548" s="1">
        <v>1113</v>
      </c>
      <c r="C548" s="1">
        <v>77</v>
      </c>
      <c r="D548" s="1" t="s">
        <v>73</v>
      </c>
      <c r="E548" s="1" t="s">
        <v>14</v>
      </c>
      <c r="F548" s="1" t="s">
        <v>74</v>
      </c>
      <c r="G548" s="1">
        <v>33</v>
      </c>
      <c r="H548" s="1" t="s">
        <v>42</v>
      </c>
      <c r="I548" s="1" t="s">
        <v>31</v>
      </c>
      <c r="J548" s="1">
        <v>1</v>
      </c>
      <c r="K548" s="1">
        <v>40.94</v>
      </c>
      <c r="L548" s="1">
        <v>0</v>
      </c>
      <c r="M548" s="16">
        <f t="shared" si="8"/>
        <v>40.94</v>
      </c>
      <c r="N548" s="1">
        <v>0</v>
      </c>
    </row>
    <row r="549" spans="1:14">
      <c r="A549" s="2">
        <v>45972</v>
      </c>
      <c r="B549" s="1">
        <v>1113</v>
      </c>
      <c r="C549" s="1">
        <v>77</v>
      </c>
      <c r="D549" s="1" t="s">
        <v>73</v>
      </c>
      <c r="E549" s="1" t="s">
        <v>14</v>
      </c>
      <c r="F549" s="1" t="s">
        <v>74</v>
      </c>
      <c r="G549" s="1">
        <v>13</v>
      </c>
      <c r="H549" s="1" t="s">
        <v>45</v>
      </c>
      <c r="I549" s="1" t="s">
        <v>33</v>
      </c>
      <c r="J549" s="1">
        <v>1</v>
      </c>
      <c r="K549" s="1">
        <v>54.9</v>
      </c>
      <c r="L549" s="1">
        <v>0</v>
      </c>
      <c r="M549" s="16">
        <f t="shared" si="8"/>
        <v>54.9</v>
      </c>
      <c r="N549" s="1">
        <v>0</v>
      </c>
    </row>
    <row r="550" spans="1:14">
      <c r="A550" s="2">
        <v>45972</v>
      </c>
      <c r="B550" s="1">
        <v>1113</v>
      </c>
      <c r="C550" s="1">
        <v>77</v>
      </c>
      <c r="D550" s="1" t="s">
        <v>73</v>
      </c>
      <c r="E550" s="1" t="s">
        <v>14</v>
      </c>
      <c r="F550" s="1" t="s">
        <v>74</v>
      </c>
      <c r="G550" s="1">
        <v>6</v>
      </c>
      <c r="H550" s="1" t="s">
        <v>99</v>
      </c>
      <c r="I550" s="1" t="s">
        <v>21</v>
      </c>
      <c r="J550" s="1">
        <v>1</v>
      </c>
      <c r="K550" s="1">
        <v>70.47</v>
      </c>
      <c r="L550" s="1">
        <v>0</v>
      </c>
      <c r="M550" s="16">
        <f t="shared" si="8"/>
        <v>70.47</v>
      </c>
      <c r="N550" s="1">
        <v>0</v>
      </c>
    </row>
    <row r="551" spans="1:14">
      <c r="A551" s="2">
        <v>45978</v>
      </c>
      <c r="B551" s="1">
        <v>1141</v>
      </c>
      <c r="C551" s="1">
        <v>77</v>
      </c>
      <c r="D551" s="1" t="s">
        <v>73</v>
      </c>
      <c r="E551" s="1" t="s">
        <v>14</v>
      </c>
      <c r="F551" s="1" t="s">
        <v>74</v>
      </c>
      <c r="G551" s="1">
        <v>9</v>
      </c>
      <c r="H551" s="1" t="s">
        <v>69</v>
      </c>
      <c r="I551" s="1" t="s">
        <v>33</v>
      </c>
      <c r="J551" s="1">
        <v>1</v>
      </c>
      <c r="K551" s="1">
        <v>20.69</v>
      </c>
      <c r="L551" s="1">
        <v>10</v>
      </c>
      <c r="M551" s="16">
        <f t="shared" si="8"/>
        <v>18.621000000000002</v>
      </c>
      <c r="N551" s="1">
        <v>0</v>
      </c>
    </row>
    <row r="552" spans="1:14">
      <c r="A552" s="2">
        <v>45978</v>
      </c>
      <c r="B552" s="1">
        <v>1141</v>
      </c>
      <c r="C552" s="1">
        <v>77</v>
      </c>
      <c r="D552" s="1" t="s">
        <v>73</v>
      </c>
      <c r="E552" s="1" t="s">
        <v>122</v>
      </c>
      <c r="F552" s="1" t="s">
        <v>74</v>
      </c>
      <c r="G552" s="1">
        <v>23</v>
      </c>
      <c r="H552" s="1" t="s">
        <v>98</v>
      </c>
      <c r="I552" s="1" t="s">
        <v>37</v>
      </c>
      <c r="J552" s="1">
        <v>1</v>
      </c>
      <c r="K552" s="1">
        <v>38.14</v>
      </c>
      <c r="L552" s="1">
        <v>10</v>
      </c>
      <c r="M552" s="16">
        <f t="shared" si="8"/>
        <v>34.326000000000001</v>
      </c>
      <c r="N552" s="1">
        <v>0</v>
      </c>
    </row>
    <row r="553" spans="1:14">
      <c r="A553" s="2">
        <v>45991</v>
      </c>
      <c r="B553" s="1">
        <v>1203</v>
      </c>
      <c r="C553" s="1">
        <v>77</v>
      </c>
      <c r="D553" s="1" t="s">
        <v>73</v>
      </c>
      <c r="E553" s="1" t="s">
        <v>14</v>
      </c>
      <c r="F553" s="1" t="s">
        <v>74</v>
      </c>
      <c r="G553" s="1">
        <v>12</v>
      </c>
      <c r="H553" s="1" t="s">
        <v>215</v>
      </c>
      <c r="I553" s="1" t="s">
        <v>33</v>
      </c>
      <c r="J553" s="1">
        <v>1</v>
      </c>
      <c r="K553" s="1">
        <v>8.4499999999999993</v>
      </c>
      <c r="L553" s="1">
        <v>15</v>
      </c>
      <c r="M553" s="16">
        <f t="shared" si="8"/>
        <v>7.1824999999999992</v>
      </c>
      <c r="N553" s="1">
        <v>0</v>
      </c>
    </row>
    <row r="554" spans="1:14">
      <c r="A554" s="2">
        <v>46003</v>
      </c>
      <c r="B554" s="1">
        <v>1266</v>
      </c>
      <c r="C554" s="1">
        <v>77</v>
      </c>
      <c r="D554" s="1" t="s">
        <v>73</v>
      </c>
      <c r="E554" s="1" t="s">
        <v>14</v>
      </c>
      <c r="F554" s="1" t="s">
        <v>74</v>
      </c>
      <c r="G554" s="1">
        <v>24</v>
      </c>
      <c r="H554" s="1" t="s">
        <v>44</v>
      </c>
      <c r="I554" s="1" t="s">
        <v>37</v>
      </c>
      <c r="J554" s="1">
        <v>3</v>
      </c>
      <c r="K554" s="1">
        <v>43.42</v>
      </c>
      <c r="L554" s="1">
        <v>10</v>
      </c>
      <c r="M554" s="16">
        <f t="shared" si="8"/>
        <v>117.23399999999999</v>
      </c>
      <c r="N554" s="1">
        <v>0</v>
      </c>
    </row>
    <row r="555" spans="1:14">
      <c r="A555" s="2">
        <v>46051</v>
      </c>
      <c r="B555" s="1">
        <v>1440</v>
      </c>
      <c r="C555" s="1">
        <v>77</v>
      </c>
      <c r="D555" s="1" t="s">
        <v>73</v>
      </c>
      <c r="E555" s="1" t="s">
        <v>14</v>
      </c>
      <c r="F555" s="1" t="s">
        <v>74</v>
      </c>
      <c r="G555" s="1">
        <v>16</v>
      </c>
      <c r="H555" s="1" t="s">
        <v>77</v>
      </c>
      <c r="I555" s="1" t="s">
        <v>17</v>
      </c>
      <c r="J555" s="1">
        <v>3</v>
      </c>
      <c r="K555" s="1">
        <v>11.81</v>
      </c>
      <c r="L555" s="1">
        <v>15</v>
      </c>
      <c r="M555" s="16">
        <f t="shared" si="8"/>
        <v>30.115499999999997</v>
      </c>
      <c r="N555" s="1">
        <v>0</v>
      </c>
    </row>
    <row r="556" spans="1:14">
      <c r="A556" s="2">
        <v>46051</v>
      </c>
      <c r="B556" s="1">
        <v>1440</v>
      </c>
      <c r="C556" s="1">
        <v>77</v>
      </c>
      <c r="D556" s="1" t="s">
        <v>73</v>
      </c>
      <c r="E556" s="1" t="s">
        <v>14</v>
      </c>
      <c r="F556" s="1" t="s">
        <v>74</v>
      </c>
      <c r="G556" s="1">
        <v>25</v>
      </c>
      <c r="H556" s="1" t="s">
        <v>214</v>
      </c>
      <c r="I556" s="1" t="s">
        <v>37</v>
      </c>
      <c r="J556" s="1">
        <v>2</v>
      </c>
      <c r="K556" s="1">
        <v>17.78</v>
      </c>
      <c r="L556" s="1">
        <v>25</v>
      </c>
      <c r="M556" s="16">
        <f t="shared" si="8"/>
        <v>26.67</v>
      </c>
      <c r="N556" s="1">
        <v>0</v>
      </c>
    </row>
    <row r="557" spans="1:14">
      <c r="A557" s="2">
        <v>46016</v>
      </c>
      <c r="B557" s="1">
        <v>1453</v>
      </c>
      <c r="C557" s="1">
        <v>77</v>
      </c>
      <c r="D557" s="1" t="s">
        <v>73</v>
      </c>
      <c r="E557" s="1" t="s">
        <v>14</v>
      </c>
      <c r="F557" s="1" t="s">
        <v>74</v>
      </c>
      <c r="G557" s="1">
        <v>29</v>
      </c>
      <c r="H557" s="1" t="s">
        <v>96</v>
      </c>
      <c r="I557" s="1" t="s">
        <v>31</v>
      </c>
      <c r="J557" s="1">
        <v>1</v>
      </c>
      <c r="K557" s="1">
        <v>45.67</v>
      </c>
      <c r="L557" s="1">
        <v>0</v>
      </c>
      <c r="M557" s="16">
        <f t="shared" si="8"/>
        <v>45.67</v>
      </c>
      <c r="N557" s="1">
        <v>0</v>
      </c>
    </row>
    <row r="558" spans="1:14">
      <c r="A558" s="2">
        <v>46079</v>
      </c>
      <c r="B558" s="1">
        <v>1532</v>
      </c>
      <c r="C558" s="1">
        <v>77</v>
      </c>
      <c r="D558" s="1" t="s">
        <v>73</v>
      </c>
      <c r="E558" s="1" t="s">
        <v>14</v>
      </c>
      <c r="F558" s="1" t="s">
        <v>74</v>
      </c>
      <c r="G558" s="1">
        <v>6</v>
      </c>
      <c r="H558" s="1" t="s">
        <v>99</v>
      </c>
      <c r="I558" s="1" t="s">
        <v>21</v>
      </c>
      <c r="J558" s="1">
        <v>1</v>
      </c>
      <c r="K558" s="1">
        <v>70.47</v>
      </c>
      <c r="L558" s="1">
        <v>25</v>
      </c>
      <c r="M558" s="16">
        <f t="shared" si="8"/>
        <v>52.852499999999999</v>
      </c>
      <c r="N558" s="1">
        <v>0</v>
      </c>
    </row>
    <row r="559" spans="1:14">
      <c r="A559" s="2">
        <v>46079</v>
      </c>
      <c r="B559" s="1">
        <v>1532</v>
      </c>
      <c r="C559" s="1">
        <v>77</v>
      </c>
      <c r="D559" s="1" t="s">
        <v>73</v>
      </c>
      <c r="E559" s="1" t="s">
        <v>14</v>
      </c>
      <c r="F559" s="1" t="s">
        <v>74</v>
      </c>
      <c r="G559" s="1">
        <v>24</v>
      </c>
      <c r="H559" s="1" t="s">
        <v>44</v>
      </c>
      <c r="I559" s="1" t="s">
        <v>37</v>
      </c>
      <c r="J559" s="1">
        <v>1</v>
      </c>
      <c r="K559" s="1">
        <v>43.42</v>
      </c>
      <c r="L559" s="1">
        <v>10</v>
      </c>
      <c r="M559" s="16">
        <f t="shared" si="8"/>
        <v>39.078000000000003</v>
      </c>
      <c r="N559" s="1">
        <v>0</v>
      </c>
    </row>
    <row r="560" spans="1:14">
      <c r="A560" s="2">
        <v>46079</v>
      </c>
      <c r="B560" s="1">
        <v>1532</v>
      </c>
      <c r="C560" s="1">
        <v>77</v>
      </c>
      <c r="D560" s="1" t="s">
        <v>73</v>
      </c>
      <c r="E560" s="1" t="s">
        <v>14</v>
      </c>
      <c r="F560" s="1" t="s">
        <v>74</v>
      </c>
      <c r="G560" s="1">
        <v>37</v>
      </c>
      <c r="H560" s="1" t="s">
        <v>26</v>
      </c>
      <c r="I560" s="1" t="s">
        <v>27</v>
      </c>
      <c r="J560" s="1">
        <v>1</v>
      </c>
      <c r="K560" s="1">
        <v>52.67</v>
      </c>
      <c r="L560" s="1">
        <v>10</v>
      </c>
      <c r="M560" s="16">
        <f t="shared" si="8"/>
        <v>47.403000000000006</v>
      </c>
      <c r="N560" s="1">
        <v>0</v>
      </c>
    </row>
    <row r="561" spans="1:14">
      <c r="A561" s="2">
        <v>46079</v>
      </c>
      <c r="B561" s="1">
        <v>1532</v>
      </c>
      <c r="C561" s="1">
        <v>77</v>
      </c>
      <c r="D561" s="1" t="s">
        <v>73</v>
      </c>
      <c r="E561" s="1" t="s">
        <v>14</v>
      </c>
      <c r="F561" s="1" t="s">
        <v>74</v>
      </c>
      <c r="G561" s="1">
        <v>32</v>
      </c>
      <c r="H561" s="1" t="s">
        <v>103</v>
      </c>
      <c r="I561" s="1" t="s">
        <v>31</v>
      </c>
      <c r="J561" s="1">
        <v>1</v>
      </c>
      <c r="K561" s="1">
        <v>61.06</v>
      </c>
      <c r="L561" s="1">
        <v>25</v>
      </c>
      <c r="M561" s="16">
        <f t="shared" si="8"/>
        <v>45.795000000000002</v>
      </c>
      <c r="N561" s="1">
        <v>0</v>
      </c>
    </row>
    <row r="562" spans="1:14">
      <c r="A562" s="2">
        <v>45948</v>
      </c>
      <c r="B562" s="1">
        <v>1044</v>
      </c>
      <c r="C562" s="1">
        <f>_xlfn.XLOOKUP(D562,'Customer Data'!B:B,'Customer Data'!A:A,"Not Found")</f>
        <v>77</v>
      </c>
      <c r="D562" s="1" t="s">
        <v>73</v>
      </c>
      <c r="E562" s="1" t="s">
        <v>14</v>
      </c>
      <c r="F562" s="1" t="s">
        <v>74</v>
      </c>
      <c r="G562" s="1">
        <v>22</v>
      </c>
      <c r="H562" s="1" t="s">
        <v>75</v>
      </c>
      <c r="I562" s="1" t="s">
        <v>17</v>
      </c>
      <c r="J562" s="1">
        <v>1</v>
      </c>
      <c r="K562" s="1">
        <v>29.98</v>
      </c>
      <c r="L562" s="1">
        <v>10</v>
      </c>
      <c r="M562" s="16">
        <f t="shared" si="8"/>
        <v>26.981999999999999</v>
      </c>
      <c r="N562" s="1">
        <v>0</v>
      </c>
    </row>
    <row r="563" spans="1:14">
      <c r="A563" s="2">
        <v>46297</v>
      </c>
      <c r="B563" s="1">
        <v>1471</v>
      </c>
      <c r="C563" s="1">
        <f>_xlfn.XLOOKUP(D563,'Customer Data'!B:B,'Customer Data'!A:A,"Not Found")</f>
        <v>77</v>
      </c>
      <c r="D563" s="1" t="s">
        <v>73</v>
      </c>
      <c r="E563" s="1" t="s">
        <v>14</v>
      </c>
      <c r="F563" s="1" t="s">
        <v>74</v>
      </c>
      <c r="G563" s="1">
        <v>15</v>
      </c>
      <c r="H563" s="1" t="s">
        <v>48</v>
      </c>
      <c r="I563" s="1" t="s">
        <v>33</v>
      </c>
      <c r="J563" s="1">
        <v>1</v>
      </c>
      <c r="K563" s="1">
        <v>47.71</v>
      </c>
      <c r="L563" s="1">
        <v>10</v>
      </c>
      <c r="M563" s="16">
        <f t="shared" si="8"/>
        <v>42.939</v>
      </c>
      <c r="N563" s="1">
        <v>0</v>
      </c>
    </row>
    <row r="564" spans="1:14">
      <c r="A564" s="2">
        <v>45960</v>
      </c>
      <c r="B564" s="1">
        <v>1056</v>
      </c>
      <c r="C564" s="1">
        <v>78</v>
      </c>
      <c r="D564" s="1" t="s">
        <v>107</v>
      </c>
      <c r="E564" s="1" t="s">
        <v>29</v>
      </c>
      <c r="F564" s="1" t="s">
        <v>74</v>
      </c>
      <c r="G564" s="1">
        <v>26</v>
      </c>
      <c r="H564" s="1" t="s">
        <v>83</v>
      </c>
      <c r="I564" s="1" t="s">
        <v>37</v>
      </c>
      <c r="J564" s="1">
        <v>2</v>
      </c>
      <c r="K564" s="1">
        <v>31.76</v>
      </c>
      <c r="L564" s="1">
        <v>0</v>
      </c>
      <c r="M564" s="16">
        <f t="shared" si="8"/>
        <v>63.52</v>
      </c>
      <c r="N564" s="1">
        <v>0</v>
      </c>
    </row>
    <row r="565" spans="1:14">
      <c r="A565" s="2">
        <v>46018</v>
      </c>
      <c r="B565" s="1">
        <v>1338</v>
      </c>
      <c r="C565" s="1">
        <v>78</v>
      </c>
      <c r="D565" s="1" t="s">
        <v>107</v>
      </c>
      <c r="E565" s="1" t="s">
        <v>29</v>
      </c>
      <c r="F565" s="1" t="s">
        <v>74</v>
      </c>
      <c r="G565" s="1">
        <v>18</v>
      </c>
      <c r="H565" s="1" t="s">
        <v>23</v>
      </c>
      <c r="I565" s="1" t="s">
        <v>17</v>
      </c>
      <c r="J565" s="1">
        <v>1</v>
      </c>
      <c r="K565" s="1">
        <v>44.01</v>
      </c>
      <c r="L565" s="1">
        <v>25</v>
      </c>
      <c r="M565" s="16">
        <f t="shared" si="8"/>
        <v>33.0075</v>
      </c>
      <c r="N565" s="1">
        <v>0</v>
      </c>
    </row>
    <row r="566" spans="1:14">
      <c r="A566" s="2">
        <v>46016</v>
      </c>
      <c r="B566" s="1">
        <v>1398</v>
      </c>
      <c r="C566" s="1">
        <v>78</v>
      </c>
      <c r="D566" s="1" t="s">
        <v>107</v>
      </c>
      <c r="E566" s="1" t="s">
        <v>29</v>
      </c>
      <c r="F566" s="1" t="s">
        <v>74</v>
      </c>
      <c r="G566" s="1">
        <v>17</v>
      </c>
      <c r="H566" s="1" t="s">
        <v>60</v>
      </c>
      <c r="I566" s="1" t="s">
        <v>139</v>
      </c>
      <c r="J566" s="1">
        <v>1</v>
      </c>
      <c r="K566" s="1">
        <v>6.61</v>
      </c>
      <c r="L566" s="1">
        <v>0</v>
      </c>
      <c r="M566" s="16">
        <f t="shared" si="8"/>
        <v>6.61</v>
      </c>
      <c r="N566" s="1">
        <v>0</v>
      </c>
    </row>
    <row r="567" spans="1:14">
      <c r="A567" s="2">
        <v>46041</v>
      </c>
      <c r="B567" s="1">
        <v>1417</v>
      </c>
      <c r="C567" s="1">
        <v>78</v>
      </c>
      <c r="D567" s="1" t="s">
        <v>107</v>
      </c>
      <c r="E567" s="1" t="s">
        <v>29</v>
      </c>
      <c r="F567" s="1" t="s">
        <v>74</v>
      </c>
      <c r="G567" s="1">
        <v>38</v>
      </c>
      <c r="H567" s="1" t="s">
        <v>70</v>
      </c>
      <c r="I567" s="1" t="s">
        <v>27</v>
      </c>
      <c r="J567" s="1">
        <v>1</v>
      </c>
      <c r="K567" s="1">
        <v>25.14</v>
      </c>
      <c r="L567" s="1">
        <v>0</v>
      </c>
      <c r="M567" s="16">
        <f t="shared" si="8"/>
        <v>25.14</v>
      </c>
      <c r="N567" s="1">
        <v>0</v>
      </c>
    </row>
    <row r="568" spans="1:14">
      <c r="A568" s="2">
        <v>46068</v>
      </c>
      <c r="B568" s="1">
        <v>1489</v>
      </c>
      <c r="C568" s="1">
        <v>79</v>
      </c>
      <c r="D568" s="1" t="s">
        <v>184</v>
      </c>
      <c r="E568" s="1" t="s">
        <v>29</v>
      </c>
      <c r="F568" s="1" t="s">
        <v>35</v>
      </c>
      <c r="G568" s="1">
        <v>2</v>
      </c>
      <c r="H568" s="1" t="s">
        <v>80</v>
      </c>
      <c r="I568" s="1" t="s">
        <v>21</v>
      </c>
      <c r="J568" s="1">
        <v>1</v>
      </c>
      <c r="K568" s="1">
        <v>64.02</v>
      </c>
      <c r="L568" s="1">
        <v>0</v>
      </c>
      <c r="M568" s="16">
        <f t="shared" si="8"/>
        <v>64.02</v>
      </c>
      <c r="N568" s="1">
        <v>0</v>
      </c>
    </row>
    <row r="569" spans="1:14">
      <c r="A569" s="2">
        <v>46068</v>
      </c>
      <c r="B569" s="1">
        <v>1489</v>
      </c>
      <c r="C569" s="1">
        <v>79</v>
      </c>
      <c r="D569" s="1" t="s">
        <v>184</v>
      </c>
      <c r="E569" s="1" t="s">
        <v>29</v>
      </c>
      <c r="F569" s="1" t="s">
        <v>35</v>
      </c>
      <c r="G569" s="1">
        <v>30</v>
      </c>
      <c r="H569" s="1" t="s">
        <v>57</v>
      </c>
      <c r="I569" s="1" t="s">
        <v>31</v>
      </c>
      <c r="J569" s="1">
        <v>1</v>
      </c>
      <c r="K569" s="1">
        <v>41.49</v>
      </c>
      <c r="L569" s="1">
        <v>0</v>
      </c>
      <c r="M569" s="16">
        <f t="shared" si="8"/>
        <v>41.49</v>
      </c>
      <c r="N569" s="1">
        <v>0</v>
      </c>
    </row>
    <row r="570" spans="1:14">
      <c r="A570" s="2">
        <v>46068</v>
      </c>
      <c r="B570" s="1">
        <v>1489</v>
      </c>
      <c r="C570" s="1">
        <v>79</v>
      </c>
      <c r="D570" s="1" t="s">
        <v>184</v>
      </c>
      <c r="E570" s="1" t="s">
        <v>29</v>
      </c>
      <c r="F570" s="1" t="s">
        <v>35</v>
      </c>
      <c r="G570" s="1">
        <v>28</v>
      </c>
      <c r="H570" s="1" t="s">
        <v>51</v>
      </c>
      <c r="I570" s="1" t="s">
        <v>37</v>
      </c>
      <c r="J570" s="1">
        <v>1</v>
      </c>
      <c r="K570" s="1">
        <v>21.24</v>
      </c>
      <c r="L570" s="1">
        <v>0</v>
      </c>
      <c r="M570" s="16">
        <f t="shared" si="8"/>
        <v>21.24</v>
      </c>
      <c r="N570" s="1">
        <v>0</v>
      </c>
    </row>
    <row r="571" spans="1:14">
      <c r="A571" s="2">
        <v>46068</v>
      </c>
      <c r="B571" s="1">
        <v>1489</v>
      </c>
      <c r="C571" s="1">
        <v>79</v>
      </c>
      <c r="D571" s="1" t="s">
        <v>184</v>
      </c>
      <c r="E571" s="1" t="s">
        <v>29</v>
      </c>
      <c r="F571" s="1" t="s">
        <v>35</v>
      </c>
      <c r="G571" s="1">
        <v>38</v>
      </c>
      <c r="H571" s="1" t="s">
        <v>70</v>
      </c>
      <c r="I571" s="1" t="s">
        <v>27</v>
      </c>
      <c r="J571" s="1">
        <v>1</v>
      </c>
      <c r="K571" s="1">
        <v>25.14</v>
      </c>
      <c r="L571" s="1">
        <v>0</v>
      </c>
      <c r="M571" s="16">
        <f t="shared" si="8"/>
        <v>25.14</v>
      </c>
      <c r="N571" s="1">
        <v>0</v>
      </c>
    </row>
    <row r="572" spans="1:14">
      <c r="A572" s="2">
        <v>46074</v>
      </c>
      <c r="B572" s="1">
        <v>1514</v>
      </c>
      <c r="C572" s="1">
        <v>79</v>
      </c>
      <c r="D572" s="1" t="s">
        <v>184</v>
      </c>
      <c r="E572" s="1" t="s">
        <v>29</v>
      </c>
      <c r="F572" s="1" t="s">
        <v>35</v>
      </c>
      <c r="G572" s="1">
        <v>34</v>
      </c>
      <c r="H572" s="1" t="s">
        <v>130</v>
      </c>
      <c r="I572" s="1" t="s">
        <v>31</v>
      </c>
      <c r="J572" s="1">
        <v>2</v>
      </c>
      <c r="K572" s="1">
        <v>58.26</v>
      </c>
      <c r="L572" s="1">
        <v>15</v>
      </c>
      <c r="M572" s="16">
        <f t="shared" si="8"/>
        <v>99.041999999999987</v>
      </c>
      <c r="N572" s="1">
        <v>0</v>
      </c>
    </row>
    <row r="573" spans="1:14">
      <c r="A573" s="2">
        <v>46074</v>
      </c>
      <c r="B573" s="1">
        <v>1514</v>
      </c>
      <c r="C573" s="1">
        <v>79</v>
      </c>
      <c r="D573" s="1" t="s">
        <v>184</v>
      </c>
      <c r="E573" s="1" t="s">
        <v>29</v>
      </c>
      <c r="F573" s="1" t="s">
        <v>35</v>
      </c>
      <c r="G573" s="1">
        <v>33</v>
      </c>
      <c r="H573" s="1" t="s">
        <v>42</v>
      </c>
      <c r="I573" s="1" t="s">
        <v>31</v>
      </c>
      <c r="J573" s="1">
        <v>1</v>
      </c>
      <c r="K573" s="1">
        <v>40.94</v>
      </c>
      <c r="L573" s="1">
        <v>15</v>
      </c>
      <c r="M573" s="16">
        <f t="shared" si="8"/>
        <v>34.798999999999999</v>
      </c>
      <c r="N573" s="1">
        <v>0</v>
      </c>
    </row>
    <row r="574" spans="1:14">
      <c r="A574" s="2">
        <v>46001</v>
      </c>
      <c r="B574" s="1">
        <v>1006</v>
      </c>
      <c r="C574" s="1">
        <v>80</v>
      </c>
      <c r="D574" s="1" t="s">
        <v>34</v>
      </c>
      <c r="E574" s="1" t="s">
        <v>25</v>
      </c>
      <c r="F574" s="1" t="s">
        <v>35</v>
      </c>
      <c r="G574" s="1">
        <v>10</v>
      </c>
      <c r="H574" s="1" t="s">
        <v>32</v>
      </c>
      <c r="I574" s="1" t="s">
        <v>33</v>
      </c>
      <c r="J574" s="1">
        <v>1</v>
      </c>
      <c r="K574" s="1">
        <v>62.68</v>
      </c>
      <c r="L574" s="1">
        <v>0</v>
      </c>
      <c r="M574" s="16">
        <f t="shared" si="8"/>
        <v>62.68</v>
      </c>
      <c r="N574" s="1">
        <v>0</v>
      </c>
    </row>
    <row r="575" spans="1:14">
      <c r="A575" s="2">
        <v>46001</v>
      </c>
      <c r="B575" s="1">
        <v>1006</v>
      </c>
      <c r="C575" s="1">
        <v>80</v>
      </c>
      <c r="D575" s="1" t="s">
        <v>34</v>
      </c>
      <c r="E575" s="1" t="s">
        <v>25</v>
      </c>
      <c r="F575" s="1" t="s">
        <v>35</v>
      </c>
      <c r="G575" s="1">
        <v>12</v>
      </c>
      <c r="H575" s="1" t="s">
        <v>215</v>
      </c>
      <c r="I575" s="14" t="str">
        <f>_xlfn.XLOOKUP(H575,'Product Data'!$B$2:$B$100,'Product Data'!$C$2:$C$100,"Not Found")</f>
        <v>Electronics</v>
      </c>
      <c r="J575" s="1">
        <v>1</v>
      </c>
      <c r="K575" s="1">
        <v>8.4499999999999993</v>
      </c>
      <c r="L575" s="1">
        <v>0</v>
      </c>
      <c r="M575" s="16">
        <f t="shared" si="8"/>
        <v>8.4499999999999993</v>
      </c>
      <c r="N575" s="1">
        <v>0</v>
      </c>
    </row>
    <row r="576" spans="1:14">
      <c r="A576" s="2">
        <v>45946</v>
      </c>
      <c r="B576" s="1">
        <v>1015</v>
      </c>
      <c r="C576" s="1">
        <v>80</v>
      </c>
      <c r="D576" s="1" t="s">
        <v>34</v>
      </c>
      <c r="E576" s="1" t="s">
        <v>193</v>
      </c>
      <c r="F576" s="1" t="s">
        <v>35</v>
      </c>
      <c r="G576" s="1">
        <v>12</v>
      </c>
      <c r="H576" s="1" t="str">
        <f>IF(I576="Apparel","Joggers",IF(I576="Beauty","Vitamin C Serum",IF(I576="Electronics","Wireless Earbuds",IF(I576="Home","LED Lamp",IF(I576="Sports","Water Bottle",IF(I576="Toys","RC Car",""))))))</f>
        <v>Wireless Earbuds</v>
      </c>
      <c r="I576" s="1" t="s">
        <v>33</v>
      </c>
      <c r="J576" s="1">
        <v>3</v>
      </c>
      <c r="K576" s="1">
        <v>8.4499999999999993</v>
      </c>
      <c r="L576" s="1">
        <v>5.5</v>
      </c>
      <c r="M576" s="16">
        <f t="shared" si="8"/>
        <v>23.955749999999998</v>
      </c>
      <c r="N576" s="1">
        <v>0</v>
      </c>
    </row>
    <row r="577" spans="1:14">
      <c r="A577" s="2">
        <v>45954</v>
      </c>
      <c r="B577" s="1">
        <v>1046</v>
      </c>
      <c r="C577" s="1">
        <v>80</v>
      </c>
      <c r="D577" s="1" t="s">
        <v>34</v>
      </c>
      <c r="E577" s="1" t="s">
        <v>25</v>
      </c>
      <c r="F577" s="1" t="s">
        <v>35</v>
      </c>
      <c r="G577" s="1">
        <v>7</v>
      </c>
      <c r="H577" s="1" t="s">
        <v>46</v>
      </c>
      <c r="I577" s="1" t="s">
        <v>21</v>
      </c>
      <c r="J577" s="1">
        <v>1</v>
      </c>
      <c r="K577" s="1">
        <v>79.39</v>
      </c>
      <c r="L577" s="1">
        <v>0</v>
      </c>
      <c r="M577" s="16">
        <f t="shared" si="8"/>
        <v>79.39</v>
      </c>
      <c r="N577" s="1">
        <v>0</v>
      </c>
    </row>
    <row r="578" spans="1:14">
      <c r="A578" s="2">
        <v>45954</v>
      </c>
      <c r="B578" s="1">
        <v>1046</v>
      </c>
      <c r="C578" s="1">
        <v>80</v>
      </c>
      <c r="D578" s="1" t="s">
        <v>34</v>
      </c>
      <c r="E578" s="1" t="s">
        <v>25</v>
      </c>
      <c r="F578" s="1" t="s">
        <v>35</v>
      </c>
      <c r="G578" s="1">
        <v>39</v>
      </c>
      <c r="H578" s="1" t="s">
        <v>36</v>
      </c>
      <c r="I578" s="1" t="s">
        <v>27</v>
      </c>
      <c r="J578" s="1">
        <v>3</v>
      </c>
      <c r="K578" s="1">
        <v>39.979999999999997</v>
      </c>
      <c r="L578" s="1">
        <v>10</v>
      </c>
      <c r="M578" s="16">
        <f t="shared" si="8"/>
        <v>107.946</v>
      </c>
      <c r="N578" s="1">
        <v>1</v>
      </c>
    </row>
    <row r="579" spans="1:14">
      <c r="A579" s="2">
        <v>45954</v>
      </c>
      <c r="B579" s="1">
        <v>1046</v>
      </c>
      <c r="C579" s="1">
        <v>80</v>
      </c>
      <c r="D579" s="1" t="s">
        <v>34</v>
      </c>
      <c r="E579" s="1" t="s">
        <v>25</v>
      </c>
      <c r="F579" s="1" t="s">
        <v>35</v>
      </c>
      <c r="G579" s="1">
        <v>23</v>
      </c>
      <c r="H579" s="1" t="s">
        <v>98</v>
      </c>
      <c r="I579" s="1" t="s">
        <v>37</v>
      </c>
      <c r="J579" s="1">
        <v>1</v>
      </c>
      <c r="K579" s="1">
        <v>38.14</v>
      </c>
      <c r="L579" s="1">
        <v>0</v>
      </c>
      <c r="M579" s="16">
        <f t="shared" ref="M579:M642" si="9">J579*K579*(1-L579/100)</f>
        <v>38.14</v>
      </c>
      <c r="N579" s="1">
        <v>0</v>
      </c>
    </row>
    <row r="580" spans="1:14">
      <c r="A580" s="2">
        <v>45954</v>
      </c>
      <c r="B580" s="1">
        <v>1046</v>
      </c>
      <c r="C580" s="1">
        <v>80</v>
      </c>
      <c r="D580" s="1" t="s">
        <v>34</v>
      </c>
      <c r="E580" s="1" t="s">
        <v>25</v>
      </c>
      <c r="F580" s="1" t="s">
        <v>35</v>
      </c>
      <c r="G580" s="1">
        <v>33</v>
      </c>
      <c r="H580" s="1" t="s">
        <v>42</v>
      </c>
      <c r="I580" s="1" t="s">
        <v>31</v>
      </c>
      <c r="J580" s="1">
        <v>3</v>
      </c>
      <c r="K580" s="1">
        <v>40.94</v>
      </c>
      <c r="L580" s="1">
        <v>10</v>
      </c>
      <c r="M580" s="16">
        <f t="shared" si="9"/>
        <v>110.538</v>
      </c>
      <c r="N580" s="1">
        <v>0</v>
      </c>
    </row>
    <row r="581" spans="1:14">
      <c r="A581" s="2">
        <v>45959</v>
      </c>
      <c r="B581" s="1">
        <v>1053</v>
      </c>
      <c r="C581" s="1">
        <v>80</v>
      </c>
      <c r="D581" s="1" t="s">
        <v>34</v>
      </c>
      <c r="E581" s="1" t="s">
        <v>25</v>
      </c>
      <c r="F581" s="1" t="s">
        <v>35</v>
      </c>
      <c r="G581" s="1">
        <v>35</v>
      </c>
      <c r="H581" s="1" t="s">
        <v>104</v>
      </c>
      <c r="I581" s="1" t="s">
        <v>27</v>
      </c>
      <c r="J581" s="1">
        <v>1</v>
      </c>
      <c r="K581" s="1">
        <v>11.3</v>
      </c>
      <c r="L581" s="1">
        <v>0</v>
      </c>
      <c r="M581" s="16">
        <f t="shared" si="9"/>
        <v>11.3</v>
      </c>
      <c r="N581" s="1">
        <v>0</v>
      </c>
    </row>
    <row r="582" spans="1:14">
      <c r="A582" s="2">
        <v>46016</v>
      </c>
      <c r="B582" s="1">
        <v>1053</v>
      </c>
      <c r="C582" s="1">
        <v>80</v>
      </c>
      <c r="D582" s="1" t="s">
        <v>34</v>
      </c>
      <c r="E582" s="1" t="s">
        <v>25</v>
      </c>
      <c r="F582" s="1" t="s">
        <v>35</v>
      </c>
      <c r="G582" s="1">
        <v>14</v>
      </c>
      <c r="H582" s="1" t="s">
        <v>105</v>
      </c>
      <c r="I582" s="1" t="s">
        <v>33</v>
      </c>
      <c r="J582" s="1">
        <v>1</v>
      </c>
      <c r="K582" s="1">
        <v>15.36</v>
      </c>
      <c r="L582" s="1">
        <v>0</v>
      </c>
      <c r="M582" s="16">
        <f t="shared" si="9"/>
        <v>15.36</v>
      </c>
      <c r="N582" s="1">
        <v>0</v>
      </c>
    </row>
    <row r="583" spans="1:14">
      <c r="A583" s="2">
        <v>45969</v>
      </c>
      <c r="B583" s="1">
        <v>1092</v>
      </c>
      <c r="C583" s="1">
        <v>80</v>
      </c>
      <c r="D583" s="1" t="s">
        <v>34</v>
      </c>
      <c r="E583" s="1" t="s">
        <v>25</v>
      </c>
      <c r="F583" s="1" t="s">
        <v>35</v>
      </c>
      <c r="G583" s="1">
        <v>12</v>
      </c>
      <c r="H583" s="1" t="s">
        <v>215</v>
      </c>
      <c r="I583" s="1" t="s">
        <v>33</v>
      </c>
      <c r="J583" s="1">
        <v>1</v>
      </c>
      <c r="K583" s="1">
        <v>8.4499999999999993</v>
      </c>
      <c r="L583" s="1">
        <v>15</v>
      </c>
      <c r="M583" s="16">
        <f t="shared" si="9"/>
        <v>7.1824999999999992</v>
      </c>
      <c r="N583" s="1">
        <v>0</v>
      </c>
    </row>
    <row r="584" spans="1:14">
      <c r="A584" s="2">
        <v>45975</v>
      </c>
      <c r="B584" s="1">
        <v>1127</v>
      </c>
      <c r="C584" s="1">
        <v>80</v>
      </c>
      <c r="D584" s="1" t="s">
        <v>34</v>
      </c>
      <c r="E584" s="1" t="s">
        <v>25</v>
      </c>
      <c r="F584" s="1" t="s">
        <v>35</v>
      </c>
      <c r="G584" s="1">
        <v>7</v>
      </c>
      <c r="H584" s="1" t="s">
        <v>46</v>
      </c>
      <c r="I584" s="1" t="s">
        <v>21</v>
      </c>
      <c r="J584" s="1">
        <v>1</v>
      </c>
      <c r="K584" s="1">
        <v>79.39</v>
      </c>
      <c r="L584" s="1">
        <v>5.5</v>
      </c>
      <c r="M584" s="16">
        <f t="shared" si="9"/>
        <v>75.02355</v>
      </c>
      <c r="N584" s="1">
        <v>0</v>
      </c>
    </row>
    <row r="585" spans="1:14">
      <c r="A585" s="2">
        <v>45975</v>
      </c>
      <c r="B585" s="1">
        <v>1127</v>
      </c>
      <c r="C585" s="1">
        <v>80</v>
      </c>
      <c r="D585" s="1" t="s">
        <v>34</v>
      </c>
      <c r="E585" s="1" t="s">
        <v>25</v>
      </c>
      <c r="F585" s="1" t="s">
        <v>35</v>
      </c>
      <c r="G585" s="1">
        <v>23</v>
      </c>
      <c r="H585" s="1" t="s">
        <v>98</v>
      </c>
      <c r="I585" s="1" t="s">
        <v>37</v>
      </c>
      <c r="J585" s="1">
        <v>1</v>
      </c>
      <c r="K585" s="1">
        <v>38.14</v>
      </c>
      <c r="L585" s="1">
        <v>25</v>
      </c>
      <c r="M585" s="16">
        <f t="shared" si="9"/>
        <v>28.605</v>
      </c>
      <c r="N585" s="1">
        <v>1</v>
      </c>
    </row>
    <row r="586" spans="1:14">
      <c r="A586" s="2">
        <v>45988</v>
      </c>
      <c r="B586" s="1">
        <v>1188</v>
      </c>
      <c r="C586" s="1">
        <v>80</v>
      </c>
      <c r="D586" s="1" t="s">
        <v>34</v>
      </c>
      <c r="E586" s="1" t="s">
        <v>25</v>
      </c>
      <c r="F586" s="1" t="s">
        <v>35</v>
      </c>
      <c r="G586" s="1">
        <v>33</v>
      </c>
      <c r="H586" s="1" t="s">
        <v>42</v>
      </c>
      <c r="I586" s="1" t="s">
        <v>31</v>
      </c>
      <c r="J586" s="1">
        <v>1</v>
      </c>
      <c r="K586" s="1">
        <v>40.94</v>
      </c>
      <c r="L586" s="1">
        <v>15</v>
      </c>
      <c r="M586" s="16">
        <f t="shared" si="9"/>
        <v>34.798999999999999</v>
      </c>
      <c r="N586" s="1">
        <v>0</v>
      </c>
    </row>
    <row r="587" spans="1:14">
      <c r="A587" s="2">
        <v>45759</v>
      </c>
      <c r="B587" s="1">
        <v>1222</v>
      </c>
      <c r="C587" s="1">
        <v>80</v>
      </c>
      <c r="D587" s="1" t="s">
        <v>34</v>
      </c>
      <c r="E587" s="1" t="s">
        <v>25</v>
      </c>
      <c r="F587" s="1" t="s">
        <v>35</v>
      </c>
      <c r="G587" s="1">
        <v>13</v>
      </c>
      <c r="H587" s="1" t="s">
        <v>45</v>
      </c>
      <c r="I587" s="1" t="s">
        <v>33</v>
      </c>
      <c r="J587" s="1">
        <v>3</v>
      </c>
      <c r="K587" s="1">
        <v>54.9</v>
      </c>
      <c r="L587" s="1">
        <v>0</v>
      </c>
      <c r="M587" s="16">
        <f t="shared" si="9"/>
        <v>164.7</v>
      </c>
      <c r="N587" s="1">
        <v>0</v>
      </c>
    </row>
    <row r="588" spans="1:14">
      <c r="A588" s="2">
        <v>45759</v>
      </c>
      <c r="B588" s="1">
        <v>1222</v>
      </c>
      <c r="C588" s="1">
        <v>80</v>
      </c>
      <c r="D588" s="1" t="s">
        <v>34</v>
      </c>
      <c r="E588" s="1" t="s">
        <v>25</v>
      </c>
      <c r="F588" s="1" t="s">
        <v>35</v>
      </c>
      <c r="G588" s="1">
        <v>13</v>
      </c>
      <c r="H588" s="1" t="s">
        <v>45</v>
      </c>
      <c r="I588" s="1" t="s">
        <v>33</v>
      </c>
      <c r="J588" s="1">
        <v>1</v>
      </c>
      <c r="K588" s="1">
        <v>54.9</v>
      </c>
      <c r="L588" s="1">
        <v>10</v>
      </c>
      <c r="M588" s="16">
        <f t="shared" si="9"/>
        <v>49.41</v>
      </c>
      <c r="N588" s="1">
        <v>0</v>
      </c>
    </row>
    <row r="589" spans="1:14">
      <c r="A589" s="2">
        <v>45759</v>
      </c>
      <c r="B589" s="1">
        <v>1222</v>
      </c>
      <c r="C589" s="1">
        <v>80</v>
      </c>
      <c r="D589" s="1" t="s">
        <v>34</v>
      </c>
      <c r="E589" s="1" t="s">
        <v>25</v>
      </c>
      <c r="F589" s="1" t="s">
        <v>35</v>
      </c>
      <c r="G589" s="1">
        <v>27</v>
      </c>
      <c r="H589" s="1" t="s">
        <v>89</v>
      </c>
      <c r="I589" s="1" t="s">
        <v>37</v>
      </c>
      <c r="J589" s="1">
        <v>2</v>
      </c>
      <c r="K589" s="1">
        <v>27.3</v>
      </c>
      <c r="L589" s="1">
        <v>10</v>
      </c>
      <c r="M589" s="16">
        <f t="shared" si="9"/>
        <v>49.14</v>
      </c>
      <c r="N589" s="1">
        <v>0</v>
      </c>
    </row>
    <row r="590" spans="1:14">
      <c r="A590" s="2">
        <v>45759</v>
      </c>
      <c r="B590" s="1">
        <v>1222</v>
      </c>
      <c r="C590" s="1">
        <v>80</v>
      </c>
      <c r="D590" s="1" t="s">
        <v>34</v>
      </c>
      <c r="E590" s="1" t="s">
        <v>25</v>
      </c>
      <c r="F590" s="1" t="s">
        <v>35</v>
      </c>
      <c r="G590" s="1">
        <v>24</v>
      </c>
      <c r="H590" s="1" t="s">
        <v>44</v>
      </c>
      <c r="I590" s="1" t="s">
        <v>37</v>
      </c>
      <c r="J590" s="1">
        <v>1</v>
      </c>
      <c r="K590" s="1">
        <v>43.42</v>
      </c>
      <c r="L590" s="1">
        <v>10</v>
      </c>
      <c r="M590" s="16">
        <f t="shared" si="9"/>
        <v>39.078000000000003</v>
      </c>
      <c r="N590" s="1">
        <v>0</v>
      </c>
    </row>
    <row r="591" spans="1:14">
      <c r="A591" s="2">
        <v>46007</v>
      </c>
      <c r="B591" s="1">
        <v>1286</v>
      </c>
      <c r="C591" s="1">
        <v>80</v>
      </c>
      <c r="D591" s="1" t="s">
        <v>34</v>
      </c>
      <c r="E591" s="1" t="s">
        <v>25</v>
      </c>
      <c r="F591" s="1" t="s">
        <v>35</v>
      </c>
      <c r="G591" s="1">
        <v>29</v>
      </c>
      <c r="H591" s="1" t="s">
        <v>96</v>
      </c>
      <c r="I591" s="1" t="s">
        <v>31</v>
      </c>
      <c r="J591" s="1">
        <v>2</v>
      </c>
      <c r="K591" s="1">
        <v>45.67</v>
      </c>
      <c r="L591" s="1">
        <v>5</v>
      </c>
      <c r="M591" s="16">
        <f t="shared" si="9"/>
        <v>86.772999999999996</v>
      </c>
      <c r="N591" s="1">
        <v>0</v>
      </c>
    </row>
    <row r="592" spans="1:14">
      <c r="A592" s="2">
        <v>46020</v>
      </c>
      <c r="B592" s="1">
        <v>1354</v>
      </c>
      <c r="C592" s="1">
        <v>80</v>
      </c>
      <c r="D592" s="1" t="s">
        <v>34</v>
      </c>
      <c r="E592" s="1" t="s">
        <v>25</v>
      </c>
      <c r="F592" s="1" t="s">
        <v>35</v>
      </c>
      <c r="G592" s="1">
        <v>11</v>
      </c>
      <c r="H592" s="1" t="s">
        <v>65</v>
      </c>
      <c r="I592" s="1" t="s">
        <v>33</v>
      </c>
      <c r="J592" s="1">
        <v>2</v>
      </c>
      <c r="K592" s="1">
        <v>58.35</v>
      </c>
      <c r="L592" s="1">
        <v>10</v>
      </c>
      <c r="M592" s="16">
        <f t="shared" si="9"/>
        <v>105.03</v>
      </c>
      <c r="N592" s="1">
        <v>0</v>
      </c>
    </row>
    <row r="593" spans="1:14">
      <c r="A593" s="2">
        <v>46205</v>
      </c>
      <c r="B593" s="1">
        <v>1462</v>
      </c>
      <c r="C593" s="1">
        <v>80</v>
      </c>
      <c r="D593" s="1" t="s">
        <v>34</v>
      </c>
      <c r="E593" s="1" t="s">
        <v>25</v>
      </c>
      <c r="F593" s="1" t="s">
        <v>35</v>
      </c>
      <c r="G593" s="1">
        <v>7</v>
      </c>
      <c r="H593" s="1" t="s">
        <v>46</v>
      </c>
      <c r="I593" s="1" t="s">
        <v>21</v>
      </c>
      <c r="J593" s="1">
        <v>1</v>
      </c>
      <c r="K593" s="1">
        <v>79.39</v>
      </c>
      <c r="L593" s="1">
        <v>0</v>
      </c>
      <c r="M593" s="16">
        <f t="shared" si="9"/>
        <v>79.39</v>
      </c>
      <c r="N593" s="1">
        <v>0</v>
      </c>
    </row>
    <row r="594" spans="1:14">
      <c r="A594" s="2">
        <v>46066</v>
      </c>
      <c r="B594" s="1">
        <v>1484</v>
      </c>
      <c r="C594" s="1">
        <v>80</v>
      </c>
      <c r="D594" s="1" t="s">
        <v>34</v>
      </c>
      <c r="E594" s="1" t="s">
        <v>25</v>
      </c>
      <c r="F594" s="1" t="s">
        <v>35</v>
      </c>
      <c r="G594" s="1">
        <v>30</v>
      </c>
      <c r="H594" s="1" t="s">
        <v>57</v>
      </c>
      <c r="I594" s="1" t="s">
        <v>31</v>
      </c>
      <c r="J594" s="1">
        <v>1</v>
      </c>
      <c r="K594" s="1">
        <v>41.49</v>
      </c>
      <c r="L594" s="1">
        <v>5</v>
      </c>
      <c r="M594" s="16">
        <f t="shared" si="9"/>
        <v>39.415500000000002</v>
      </c>
      <c r="N594" s="1">
        <v>0</v>
      </c>
    </row>
    <row r="595" spans="1:14">
      <c r="A595" s="2">
        <v>46025</v>
      </c>
      <c r="B595" s="1">
        <v>1550</v>
      </c>
      <c r="C595" s="1">
        <v>80</v>
      </c>
      <c r="D595" s="1" t="s">
        <v>34</v>
      </c>
      <c r="E595" s="1" t="s">
        <v>25</v>
      </c>
      <c r="F595" s="1" t="s">
        <v>35</v>
      </c>
      <c r="G595" s="1">
        <v>30</v>
      </c>
      <c r="H595" s="1" t="s">
        <v>57</v>
      </c>
      <c r="I595" s="1" t="s">
        <v>31</v>
      </c>
      <c r="J595" s="1">
        <v>3</v>
      </c>
      <c r="K595" s="1">
        <v>41.49</v>
      </c>
      <c r="L595" s="1">
        <v>5</v>
      </c>
      <c r="M595" s="16">
        <f t="shared" si="9"/>
        <v>118.2465</v>
      </c>
      <c r="N595" s="1">
        <v>0</v>
      </c>
    </row>
    <row r="596" spans="1:14">
      <c r="A596" s="2">
        <v>45989</v>
      </c>
      <c r="B596" s="1">
        <v>1192</v>
      </c>
      <c r="C596" s="1">
        <f>_xlfn.XLOOKUP(D596,'Customer Data'!B:B,'Customer Data'!A:A,"Not Found")</f>
        <v>80</v>
      </c>
      <c r="D596" s="1" t="s">
        <v>34</v>
      </c>
      <c r="E596" s="1" t="s">
        <v>25</v>
      </c>
      <c r="F596" s="1" t="s">
        <v>35</v>
      </c>
      <c r="G596" s="1">
        <v>24</v>
      </c>
      <c r="H596" s="1" t="s">
        <v>44</v>
      </c>
      <c r="I596" s="1" t="s">
        <v>37</v>
      </c>
      <c r="J596" s="1">
        <v>3</v>
      </c>
      <c r="K596" s="1">
        <v>43.42</v>
      </c>
      <c r="L596" s="1">
        <v>0</v>
      </c>
      <c r="M596" s="16">
        <f t="shared" si="9"/>
        <v>130.26</v>
      </c>
      <c r="N596" s="1">
        <v>0</v>
      </c>
    </row>
    <row r="597" spans="1:14">
      <c r="A597" s="2">
        <v>45941</v>
      </c>
      <c r="B597" s="1">
        <v>1105</v>
      </c>
      <c r="C597" s="1">
        <v>81</v>
      </c>
      <c r="D597" s="1" t="s">
        <v>120</v>
      </c>
      <c r="E597" s="1" t="s">
        <v>29</v>
      </c>
      <c r="F597" s="1" t="s">
        <v>41</v>
      </c>
      <c r="G597" s="1">
        <v>13</v>
      </c>
      <c r="H597" s="1" t="s">
        <v>45</v>
      </c>
      <c r="I597" s="1" t="s">
        <v>33</v>
      </c>
      <c r="J597" s="1">
        <v>3</v>
      </c>
      <c r="K597" s="1">
        <v>54.9</v>
      </c>
      <c r="L597" s="1">
        <v>0</v>
      </c>
      <c r="M597" s="16">
        <f t="shared" si="9"/>
        <v>164.7</v>
      </c>
      <c r="N597" s="1">
        <v>0</v>
      </c>
    </row>
    <row r="598" spans="1:14">
      <c r="A598" s="2">
        <v>45976</v>
      </c>
      <c r="B598" s="1">
        <v>1132</v>
      </c>
      <c r="C598" s="1">
        <v>81</v>
      </c>
      <c r="D598" s="1" t="s">
        <v>120</v>
      </c>
      <c r="E598" s="1" t="s">
        <v>29</v>
      </c>
      <c r="F598" s="1" t="s">
        <v>41</v>
      </c>
      <c r="G598" s="1">
        <v>29</v>
      </c>
      <c r="H598" s="1" t="s">
        <v>96</v>
      </c>
      <c r="I598" s="1" t="s">
        <v>31</v>
      </c>
      <c r="J598" s="1">
        <v>3</v>
      </c>
      <c r="K598" s="1">
        <v>45.67</v>
      </c>
      <c r="L598" s="1">
        <v>0</v>
      </c>
      <c r="M598" s="16">
        <f t="shared" si="9"/>
        <v>137.01</v>
      </c>
      <c r="N598" s="1">
        <v>0</v>
      </c>
    </row>
    <row r="599" spans="1:14">
      <c r="A599" s="2">
        <v>46005</v>
      </c>
      <c r="B599" s="1">
        <v>1278</v>
      </c>
      <c r="C599" s="1">
        <v>81</v>
      </c>
      <c r="D599" s="1" t="s">
        <v>120</v>
      </c>
      <c r="E599" s="1" t="s">
        <v>29</v>
      </c>
      <c r="F599" s="1" t="s">
        <v>41</v>
      </c>
      <c r="G599" s="1">
        <v>6</v>
      </c>
      <c r="H599" s="1" t="s">
        <v>99</v>
      </c>
      <c r="I599" s="1" t="s">
        <v>21</v>
      </c>
      <c r="J599" s="1">
        <v>3</v>
      </c>
      <c r="K599" s="1">
        <v>70.47</v>
      </c>
      <c r="L599" s="1">
        <v>0</v>
      </c>
      <c r="M599" s="16">
        <f t="shared" si="9"/>
        <v>211.41</v>
      </c>
      <c r="N599" s="1">
        <v>0</v>
      </c>
    </row>
    <row r="600" spans="1:14">
      <c r="A600" s="2">
        <v>46008</v>
      </c>
      <c r="B600" s="1">
        <v>1289</v>
      </c>
      <c r="C600" s="1">
        <v>81</v>
      </c>
      <c r="D600" s="1" t="s">
        <v>120</v>
      </c>
      <c r="E600" s="1" t="s">
        <v>29</v>
      </c>
      <c r="F600" s="1" t="s">
        <v>41</v>
      </c>
      <c r="G600" s="1">
        <v>7</v>
      </c>
      <c r="H600" s="1" t="s">
        <v>46</v>
      </c>
      <c r="I600" s="1" t="s">
        <v>21</v>
      </c>
      <c r="J600" s="1">
        <v>1</v>
      </c>
      <c r="K600" s="1">
        <v>79.39</v>
      </c>
      <c r="L600" s="1">
        <v>0</v>
      </c>
      <c r="M600" s="16">
        <f t="shared" si="9"/>
        <v>79.39</v>
      </c>
      <c r="N600" s="1">
        <v>1</v>
      </c>
    </row>
    <row r="601" spans="1:14">
      <c r="A601" s="2">
        <v>46008</v>
      </c>
      <c r="B601" s="1">
        <v>1289</v>
      </c>
      <c r="C601" s="1">
        <v>81</v>
      </c>
      <c r="D601" s="1" t="s">
        <v>120</v>
      </c>
      <c r="E601" s="1" t="s">
        <v>29</v>
      </c>
      <c r="F601" s="1" t="s">
        <v>41</v>
      </c>
      <c r="G601" s="1">
        <v>38</v>
      </c>
      <c r="H601" s="1" t="s">
        <v>70</v>
      </c>
      <c r="I601" s="1" t="s">
        <v>27</v>
      </c>
      <c r="J601" s="1">
        <v>2</v>
      </c>
      <c r="K601" s="1">
        <v>25.14</v>
      </c>
      <c r="L601" s="1">
        <v>0</v>
      </c>
      <c r="M601" s="16">
        <f t="shared" si="9"/>
        <v>50.28</v>
      </c>
      <c r="N601" s="1">
        <v>0</v>
      </c>
    </row>
    <row r="602" spans="1:14">
      <c r="A602" s="2">
        <v>46008</v>
      </c>
      <c r="B602" s="1">
        <v>1289</v>
      </c>
      <c r="C602" s="1">
        <v>81</v>
      </c>
      <c r="D602" s="1" t="s">
        <v>120</v>
      </c>
      <c r="E602" s="1" t="s">
        <v>29</v>
      </c>
      <c r="F602" s="1" t="s">
        <v>41</v>
      </c>
      <c r="G602" s="1">
        <v>18</v>
      </c>
      <c r="H602" s="1" t="s">
        <v>23</v>
      </c>
      <c r="I602" s="1" t="s">
        <v>17</v>
      </c>
      <c r="J602" s="1">
        <v>1</v>
      </c>
      <c r="K602" s="1">
        <v>44.01</v>
      </c>
      <c r="L602" s="1">
        <v>0</v>
      </c>
      <c r="M602" s="16">
        <f t="shared" si="9"/>
        <v>44.01</v>
      </c>
      <c r="N602" s="1">
        <v>0</v>
      </c>
    </row>
    <row r="603" spans="1:14">
      <c r="A603" s="2">
        <v>45971</v>
      </c>
      <c r="B603" s="1">
        <v>1003</v>
      </c>
      <c r="C603" s="1">
        <v>82</v>
      </c>
      <c r="D603" s="1" t="s">
        <v>22</v>
      </c>
      <c r="E603" s="1" t="s">
        <v>14</v>
      </c>
      <c r="F603" s="1" t="s">
        <v>19</v>
      </c>
      <c r="G603" s="1">
        <v>18</v>
      </c>
      <c r="H603" s="1" t="s">
        <v>23</v>
      </c>
      <c r="I603" s="1" t="s">
        <v>17</v>
      </c>
      <c r="J603" s="1">
        <v>1</v>
      </c>
      <c r="K603" s="1">
        <v>44.01</v>
      </c>
      <c r="L603" s="1">
        <v>25</v>
      </c>
      <c r="M603" s="16">
        <f t="shared" si="9"/>
        <v>33.0075</v>
      </c>
      <c r="N603" s="1">
        <v>0</v>
      </c>
    </row>
    <row r="604" spans="1:14">
      <c r="A604" s="2">
        <v>46001</v>
      </c>
      <c r="B604" s="1">
        <v>1007</v>
      </c>
      <c r="C604" s="1">
        <v>82</v>
      </c>
      <c r="D604" s="1" t="s">
        <v>22</v>
      </c>
      <c r="E604" s="1" t="s">
        <v>14</v>
      </c>
      <c r="F604" s="1" t="s">
        <v>19</v>
      </c>
      <c r="G604" s="1">
        <v>39</v>
      </c>
      <c r="H604" s="1" t="s">
        <v>36</v>
      </c>
      <c r="I604" s="1" t="s">
        <v>27</v>
      </c>
      <c r="J604" s="1">
        <v>1</v>
      </c>
      <c r="K604" s="1">
        <v>39.979999999999997</v>
      </c>
      <c r="L604" s="1">
        <v>5</v>
      </c>
      <c r="M604" s="16">
        <f t="shared" si="9"/>
        <v>37.980999999999995</v>
      </c>
      <c r="N604" s="1">
        <v>0</v>
      </c>
    </row>
    <row r="605" spans="1:14">
      <c r="A605" s="2">
        <v>46001</v>
      </c>
      <c r="B605" s="1">
        <v>1007</v>
      </c>
      <c r="C605" s="1">
        <v>82</v>
      </c>
      <c r="D605" s="1" t="s">
        <v>22</v>
      </c>
      <c r="E605" s="1" t="s">
        <v>14</v>
      </c>
      <c r="F605" s="1" t="s">
        <v>19</v>
      </c>
      <c r="G605" s="1">
        <v>28</v>
      </c>
      <c r="H605" s="1" t="str">
        <f>IF(I605="Apparel","Joggers",IF(I605="Beauty","Vitamin C Serum",IF(I605="Electronics","Wireless Earbuds",IF(I605="Home","LED Lamp",IF(I605="Sports","Water Bottle",IF(I605="Toys","RC Car",""))))))</f>
        <v>Vitamin C Serum</v>
      </c>
      <c r="I605" s="1" t="s">
        <v>37</v>
      </c>
      <c r="J605" s="1">
        <v>1</v>
      </c>
      <c r="K605" s="1">
        <v>21.24</v>
      </c>
      <c r="L605" s="1">
        <v>10</v>
      </c>
      <c r="M605" s="16">
        <f t="shared" si="9"/>
        <v>19.116</v>
      </c>
      <c r="N605" s="1">
        <v>0</v>
      </c>
    </row>
    <row r="606" spans="1:14">
      <c r="A606" s="2">
        <v>46001</v>
      </c>
      <c r="B606" s="1">
        <v>1007</v>
      </c>
      <c r="C606" s="1">
        <v>82</v>
      </c>
      <c r="D606" s="1" t="s">
        <v>22</v>
      </c>
      <c r="E606" s="1" t="s">
        <v>14</v>
      </c>
      <c r="F606" s="1" t="s">
        <v>19</v>
      </c>
      <c r="G606" s="1">
        <v>5</v>
      </c>
      <c r="H606" s="1" t="s">
        <v>38</v>
      </c>
      <c r="I606" s="1" t="s">
        <v>21</v>
      </c>
      <c r="J606" s="1">
        <v>1</v>
      </c>
      <c r="K606" s="1">
        <v>42.53</v>
      </c>
      <c r="L606" s="1">
        <v>0</v>
      </c>
      <c r="M606" s="16">
        <f t="shared" si="9"/>
        <v>42.53</v>
      </c>
      <c r="N606" s="1">
        <v>0</v>
      </c>
    </row>
    <row r="607" spans="1:14">
      <c r="A607" s="2">
        <v>46001</v>
      </c>
      <c r="B607" s="1">
        <v>1007</v>
      </c>
      <c r="C607" s="1">
        <v>82</v>
      </c>
      <c r="D607" s="1" t="s">
        <v>22</v>
      </c>
      <c r="E607" s="1" t="s">
        <v>14</v>
      </c>
      <c r="F607" s="1" t="s">
        <v>19</v>
      </c>
      <c r="G607" s="1">
        <v>23</v>
      </c>
      <c r="H607" s="1" t="s">
        <v>98</v>
      </c>
      <c r="I607" s="1" t="s">
        <v>37</v>
      </c>
      <c r="J607" s="1">
        <v>1</v>
      </c>
      <c r="K607" s="1">
        <v>38.14</v>
      </c>
      <c r="L607" s="1">
        <v>0</v>
      </c>
      <c r="M607" s="16">
        <f t="shared" si="9"/>
        <v>38.14</v>
      </c>
      <c r="N607" s="1">
        <v>0</v>
      </c>
    </row>
    <row r="608" spans="1:14">
      <c r="A608" s="2">
        <v>45788</v>
      </c>
      <c r="B608" s="1">
        <v>1082</v>
      </c>
      <c r="C608" s="1">
        <v>82</v>
      </c>
      <c r="D608" s="1" t="s">
        <v>22</v>
      </c>
      <c r="E608" s="1" t="s">
        <v>14</v>
      </c>
      <c r="F608" s="1" t="s">
        <v>19</v>
      </c>
      <c r="G608" s="1">
        <v>37</v>
      </c>
      <c r="H608" s="1" t="s">
        <v>26</v>
      </c>
      <c r="I608" s="1" t="s">
        <v>27</v>
      </c>
      <c r="J608" s="1">
        <v>1</v>
      </c>
      <c r="K608" s="1">
        <v>52.67</v>
      </c>
      <c r="L608" s="1">
        <v>10</v>
      </c>
      <c r="M608" s="16">
        <f t="shared" si="9"/>
        <v>47.403000000000006</v>
      </c>
      <c r="N608" s="1">
        <v>0</v>
      </c>
    </row>
    <row r="609" spans="1:14">
      <c r="A609" s="2">
        <v>45788</v>
      </c>
      <c r="B609" s="1">
        <v>1082</v>
      </c>
      <c r="C609" s="1">
        <v>82</v>
      </c>
      <c r="D609" s="1" t="s">
        <v>22</v>
      </c>
      <c r="E609" s="1" t="s">
        <v>14</v>
      </c>
      <c r="F609" s="1" t="s">
        <v>19</v>
      </c>
      <c r="G609" s="1">
        <v>8</v>
      </c>
      <c r="H609" s="1" t="s">
        <v>84</v>
      </c>
      <c r="I609" s="1" t="s">
        <v>21</v>
      </c>
      <c r="J609" s="1">
        <v>3</v>
      </c>
      <c r="K609" s="1">
        <v>16.72</v>
      </c>
      <c r="L609" s="1">
        <v>0</v>
      </c>
      <c r="M609" s="16">
        <f t="shared" si="9"/>
        <v>50.16</v>
      </c>
      <c r="N609" s="1">
        <v>0</v>
      </c>
    </row>
    <row r="610" spans="1:14">
      <c r="A610" s="2">
        <v>45977</v>
      </c>
      <c r="B610" s="1">
        <v>1135</v>
      </c>
      <c r="C610" s="1">
        <v>82</v>
      </c>
      <c r="D610" s="1" t="s">
        <v>22</v>
      </c>
      <c r="E610" s="1" t="s">
        <v>14</v>
      </c>
      <c r="F610" s="1" t="s">
        <v>19</v>
      </c>
      <c r="G610" s="1">
        <v>14</v>
      </c>
      <c r="H610" s="1" t="s">
        <v>105</v>
      </c>
      <c r="I610" s="1" t="s">
        <v>33</v>
      </c>
      <c r="J610" s="1">
        <v>2</v>
      </c>
      <c r="K610" s="1">
        <v>15.36</v>
      </c>
      <c r="L610" s="1">
        <v>0</v>
      </c>
      <c r="M610" s="16">
        <f t="shared" si="9"/>
        <v>30.72</v>
      </c>
      <c r="N610" s="1">
        <v>0</v>
      </c>
    </row>
    <row r="611" spans="1:14">
      <c r="A611" s="2">
        <v>45977</v>
      </c>
      <c r="B611" s="1">
        <v>1135</v>
      </c>
      <c r="C611" s="1">
        <v>82</v>
      </c>
      <c r="D611" s="1" t="s">
        <v>22</v>
      </c>
      <c r="E611" s="1" t="s">
        <v>14</v>
      </c>
      <c r="F611" s="1" t="s">
        <v>19</v>
      </c>
      <c r="G611" s="1">
        <v>39</v>
      </c>
      <c r="H611" s="1" t="str">
        <f>IF(I611="Apparel","Joggers",IF(I611="Beauty","Vitamin C Serum",IF(I611="Electronics","Wireless Earbuds",IF(I611="Home","LED Lamp",IF(I611="Sports","Water Bottle",IF(I611="Toys","RC Car",""))))))</f>
        <v>RC Car</v>
      </c>
      <c r="I611" s="1" t="s">
        <v>27</v>
      </c>
      <c r="J611" s="1">
        <v>1</v>
      </c>
      <c r="K611" s="1">
        <v>38.869999999999997</v>
      </c>
      <c r="L611" s="1">
        <v>0</v>
      </c>
      <c r="M611" s="16">
        <f t="shared" si="9"/>
        <v>38.869999999999997</v>
      </c>
      <c r="N611" s="1">
        <v>0</v>
      </c>
    </row>
    <row r="612" spans="1:14">
      <c r="A612" s="2">
        <v>45728</v>
      </c>
      <c r="B612" s="1">
        <v>1219</v>
      </c>
      <c r="C612" s="1">
        <v>82</v>
      </c>
      <c r="D612" s="1" t="s">
        <v>22</v>
      </c>
      <c r="E612" s="1" t="s">
        <v>14</v>
      </c>
      <c r="F612" s="1" t="s">
        <v>19</v>
      </c>
      <c r="G612" s="1">
        <v>22</v>
      </c>
      <c r="H612" s="1" t="s">
        <v>75</v>
      </c>
      <c r="I612" s="1" t="s">
        <v>17</v>
      </c>
      <c r="J612" s="1">
        <v>2</v>
      </c>
      <c r="K612" s="1">
        <v>29.98</v>
      </c>
      <c r="L612" s="1">
        <v>0</v>
      </c>
      <c r="M612" s="16">
        <f t="shared" si="9"/>
        <v>59.96</v>
      </c>
      <c r="N612" s="1">
        <v>1</v>
      </c>
    </row>
    <row r="613" spans="1:14">
      <c r="A613" s="2">
        <v>46010</v>
      </c>
      <c r="B613" s="1">
        <v>1299</v>
      </c>
      <c r="C613" s="1">
        <v>82</v>
      </c>
      <c r="D613" s="1" t="s">
        <v>22</v>
      </c>
      <c r="E613" s="1" t="s">
        <v>14</v>
      </c>
      <c r="F613" s="1" t="s">
        <v>19</v>
      </c>
      <c r="G613" s="1">
        <v>8</v>
      </c>
      <c r="H613" s="1" t="s">
        <v>84</v>
      </c>
      <c r="I613" s="1" t="s">
        <v>21</v>
      </c>
      <c r="J613" s="1">
        <v>1</v>
      </c>
      <c r="K613" s="1">
        <v>16.72</v>
      </c>
      <c r="L613" s="1">
        <v>0</v>
      </c>
      <c r="M613" s="16">
        <f t="shared" si="9"/>
        <v>16.72</v>
      </c>
      <c r="N613" s="1">
        <v>0</v>
      </c>
    </row>
    <row r="614" spans="1:14">
      <c r="A614" s="2">
        <v>46013</v>
      </c>
      <c r="B614" s="1">
        <v>1309</v>
      </c>
      <c r="C614" s="1">
        <v>82</v>
      </c>
      <c r="D614" s="1" t="s">
        <v>22</v>
      </c>
      <c r="E614" s="1" t="s">
        <v>14</v>
      </c>
      <c r="F614" s="1" t="s">
        <v>35</v>
      </c>
      <c r="G614" s="1">
        <v>19</v>
      </c>
      <c r="H614" s="1" t="s">
        <v>64</v>
      </c>
      <c r="I614" s="1" t="s">
        <v>209</v>
      </c>
      <c r="J614" s="1">
        <v>2</v>
      </c>
      <c r="K614" s="1">
        <v>50.14</v>
      </c>
      <c r="L614" s="1">
        <v>5.5</v>
      </c>
      <c r="M614" s="16">
        <f t="shared" si="9"/>
        <v>94.764600000000002</v>
      </c>
      <c r="N614" s="1">
        <v>0</v>
      </c>
    </row>
    <row r="615" spans="1:14">
      <c r="A615" s="2">
        <v>46013</v>
      </c>
      <c r="B615" s="1">
        <v>1309</v>
      </c>
      <c r="C615" s="1">
        <v>82</v>
      </c>
      <c r="D615" s="1" t="s">
        <v>22</v>
      </c>
      <c r="E615" s="1" t="s">
        <v>14</v>
      </c>
      <c r="F615" s="1" t="s">
        <v>19</v>
      </c>
      <c r="G615" s="1">
        <v>5</v>
      </c>
      <c r="H615" s="1" t="s">
        <v>38</v>
      </c>
      <c r="I615" s="1" t="s">
        <v>21</v>
      </c>
      <c r="J615" s="1">
        <v>2</v>
      </c>
      <c r="K615" s="1">
        <v>42.53</v>
      </c>
      <c r="L615" s="1">
        <v>0</v>
      </c>
      <c r="M615" s="16">
        <f t="shared" si="9"/>
        <v>85.06</v>
      </c>
      <c r="N615" s="1">
        <v>0</v>
      </c>
    </row>
    <row r="616" spans="1:14">
      <c r="A616" s="2">
        <v>46013</v>
      </c>
      <c r="B616" s="1">
        <v>1309</v>
      </c>
      <c r="C616" s="1">
        <v>82</v>
      </c>
      <c r="D616" s="1" t="s">
        <v>22</v>
      </c>
      <c r="E616" s="1" t="s">
        <v>14</v>
      </c>
      <c r="F616" s="1" t="s">
        <v>19</v>
      </c>
      <c r="G616" s="1">
        <v>5</v>
      </c>
      <c r="H616" s="1" t="s">
        <v>38</v>
      </c>
      <c r="I616" s="1" t="s">
        <v>21</v>
      </c>
      <c r="J616" s="1">
        <v>1</v>
      </c>
      <c r="K616" s="1">
        <v>42.53</v>
      </c>
      <c r="L616" s="1">
        <v>5</v>
      </c>
      <c r="M616" s="16">
        <f t="shared" si="9"/>
        <v>40.403500000000001</v>
      </c>
      <c r="N616" s="1">
        <v>0</v>
      </c>
    </row>
    <row r="617" spans="1:14">
      <c r="A617" s="2">
        <v>46020</v>
      </c>
      <c r="B617" s="1">
        <v>1355</v>
      </c>
      <c r="C617" s="1">
        <v>82</v>
      </c>
      <c r="D617" s="1" t="s">
        <v>22</v>
      </c>
      <c r="E617" s="1" t="s">
        <v>14</v>
      </c>
      <c r="F617" s="1" t="s">
        <v>19</v>
      </c>
      <c r="G617" s="1">
        <v>4</v>
      </c>
      <c r="H617" s="1" t="s">
        <v>92</v>
      </c>
      <c r="I617" s="1" t="s">
        <v>21</v>
      </c>
      <c r="J617" s="1">
        <v>2</v>
      </c>
      <c r="K617" s="1">
        <v>34.83</v>
      </c>
      <c r="L617" s="1">
        <v>5</v>
      </c>
      <c r="M617" s="16">
        <f t="shared" si="9"/>
        <v>66.176999999999992</v>
      </c>
      <c r="N617" s="1">
        <v>0</v>
      </c>
    </row>
    <row r="618" spans="1:14">
      <c r="A618" s="2">
        <v>46045</v>
      </c>
      <c r="B618" s="1">
        <v>1423</v>
      </c>
      <c r="C618" s="1">
        <v>82</v>
      </c>
      <c r="D618" s="1" t="s">
        <v>22</v>
      </c>
      <c r="E618" s="1" t="s">
        <v>14</v>
      </c>
      <c r="F618" s="1" t="s">
        <v>19</v>
      </c>
      <c r="G618" s="1">
        <v>23</v>
      </c>
      <c r="H618" s="1" t="s">
        <v>98</v>
      </c>
      <c r="I618" s="1" t="s">
        <v>37</v>
      </c>
      <c r="J618" s="1">
        <v>1</v>
      </c>
      <c r="K618" s="1">
        <v>38.14</v>
      </c>
      <c r="L618" s="1">
        <v>15</v>
      </c>
      <c r="M618" s="16">
        <f t="shared" si="9"/>
        <v>32.418999999999997</v>
      </c>
      <c r="N618" s="1">
        <v>0</v>
      </c>
    </row>
    <row r="619" spans="1:14">
      <c r="A619" s="2">
        <v>46045</v>
      </c>
      <c r="B619" s="1">
        <v>1423</v>
      </c>
      <c r="C619" s="1">
        <v>82</v>
      </c>
      <c r="D619" s="1" t="s">
        <v>22</v>
      </c>
      <c r="E619" s="1" t="s">
        <v>14</v>
      </c>
      <c r="F619" s="1" t="s">
        <v>19</v>
      </c>
      <c r="G619" s="1">
        <v>4</v>
      </c>
      <c r="H619" s="1" t="s">
        <v>92</v>
      </c>
      <c r="I619" s="1" t="s">
        <v>21</v>
      </c>
      <c r="J619" s="1">
        <v>2</v>
      </c>
      <c r="K619" s="1">
        <v>34.83</v>
      </c>
      <c r="L619" s="1">
        <v>20</v>
      </c>
      <c r="M619" s="16">
        <f t="shared" si="9"/>
        <v>55.728000000000002</v>
      </c>
      <c r="N619" s="1">
        <v>1</v>
      </c>
    </row>
    <row r="620" spans="1:14">
      <c r="A620" s="2">
        <v>45881</v>
      </c>
      <c r="B620" s="1">
        <v>1239</v>
      </c>
      <c r="C620" s="1">
        <v>83</v>
      </c>
      <c r="D620" s="1" t="s">
        <v>159</v>
      </c>
      <c r="E620" s="1" t="s">
        <v>40</v>
      </c>
      <c r="F620" s="1" t="s">
        <v>55</v>
      </c>
      <c r="G620" s="1">
        <v>6</v>
      </c>
      <c r="H620" s="1" t="str">
        <f>IF(I620="Apparel","Joggers",IF(I620="Beauty","Vitamin C Serum",IF(I620="Electronics","Wireless Earbuds",IF(I620="Home","LED Lamp",IF(I620="Sports","Water Bottle",IF(I620="Toys","RC Car",""))))))</f>
        <v>Joggers</v>
      </c>
      <c r="I620" s="1" t="s">
        <v>21</v>
      </c>
      <c r="J620" s="1">
        <v>1</v>
      </c>
      <c r="K620" s="1">
        <v>70.47</v>
      </c>
      <c r="L620" s="1">
        <v>0</v>
      </c>
      <c r="M620" s="16">
        <f t="shared" si="9"/>
        <v>70.47</v>
      </c>
      <c r="N620" s="1">
        <v>0</v>
      </c>
    </row>
    <row r="621" spans="1:14">
      <c r="A621" s="2">
        <v>46009</v>
      </c>
      <c r="B621" s="1">
        <v>1293</v>
      </c>
      <c r="C621" s="1">
        <v>83</v>
      </c>
      <c r="D621" s="1" t="s">
        <v>159</v>
      </c>
      <c r="E621" s="1" t="s">
        <v>40</v>
      </c>
      <c r="F621" s="1" t="s">
        <v>55</v>
      </c>
      <c r="G621" s="1">
        <v>17</v>
      </c>
      <c r="H621" s="1" t="s">
        <v>60</v>
      </c>
      <c r="I621" s="1" t="s">
        <v>17</v>
      </c>
      <c r="J621" s="1">
        <v>1</v>
      </c>
      <c r="K621" s="1">
        <v>6.61</v>
      </c>
      <c r="L621" s="1">
        <v>15</v>
      </c>
      <c r="M621" s="16">
        <f t="shared" si="9"/>
        <v>5.6185</v>
      </c>
      <c r="N621" s="1">
        <v>0</v>
      </c>
    </row>
    <row r="622" spans="1:14">
      <c r="A622" s="2">
        <v>46074</v>
      </c>
      <c r="B622" s="1">
        <v>1515</v>
      </c>
      <c r="C622" s="1">
        <v>83</v>
      </c>
      <c r="D622" s="1" t="s">
        <v>159</v>
      </c>
      <c r="E622" s="1" t="s">
        <v>40</v>
      </c>
      <c r="F622" s="1" t="s">
        <v>55</v>
      </c>
      <c r="G622" s="1">
        <v>21</v>
      </c>
      <c r="H622" s="1" t="s">
        <v>97</v>
      </c>
      <c r="I622" s="1" t="s">
        <v>17</v>
      </c>
      <c r="J622" s="1">
        <v>3</v>
      </c>
      <c r="K622" s="1">
        <v>49.37</v>
      </c>
      <c r="L622" s="1">
        <v>20</v>
      </c>
      <c r="M622" s="16">
        <f t="shared" si="9"/>
        <v>118.488</v>
      </c>
      <c r="N622" s="1">
        <v>0</v>
      </c>
    </row>
    <row r="623" spans="1:14">
      <c r="A623" s="2">
        <v>45987</v>
      </c>
      <c r="B623" s="1">
        <v>1181</v>
      </c>
      <c r="C623" s="1">
        <v>84</v>
      </c>
      <c r="D623" s="1" t="s">
        <v>147</v>
      </c>
      <c r="E623" s="1" t="s">
        <v>29</v>
      </c>
      <c r="F623" s="1" t="s">
        <v>35</v>
      </c>
      <c r="G623" s="1">
        <v>25</v>
      </c>
      <c r="H623" s="1" t="s">
        <v>214</v>
      </c>
      <c r="I623" s="1" t="s">
        <v>37</v>
      </c>
      <c r="J623" s="1">
        <v>1</v>
      </c>
      <c r="K623" s="1">
        <v>17.78</v>
      </c>
      <c r="L623" s="1">
        <v>0</v>
      </c>
      <c r="M623" s="16">
        <f t="shared" si="9"/>
        <v>17.78</v>
      </c>
      <c r="N623" s="1">
        <v>0</v>
      </c>
    </row>
    <row r="624" spans="1:14">
      <c r="A624" s="2">
        <v>45987</v>
      </c>
      <c r="B624" s="1">
        <v>1181</v>
      </c>
      <c r="C624" s="1">
        <v>84</v>
      </c>
      <c r="D624" s="1" t="s">
        <v>147</v>
      </c>
      <c r="E624" s="1" t="s">
        <v>29</v>
      </c>
      <c r="F624" s="1" t="s">
        <v>35</v>
      </c>
      <c r="G624" s="1">
        <v>24</v>
      </c>
      <c r="H624" s="1" t="s">
        <v>44</v>
      </c>
      <c r="I624" s="1" t="s">
        <v>37</v>
      </c>
      <c r="J624" s="1">
        <v>2</v>
      </c>
      <c r="K624" s="1">
        <v>43.42</v>
      </c>
      <c r="L624" s="1">
        <v>0</v>
      </c>
      <c r="M624" s="16">
        <f t="shared" si="9"/>
        <v>86.84</v>
      </c>
      <c r="N624" s="1">
        <v>0</v>
      </c>
    </row>
    <row r="625" spans="1:14">
      <c r="A625" s="2">
        <v>46046</v>
      </c>
      <c r="B625" s="1">
        <v>1429</v>
      </c>
      <c r="C625" s="1">
        <v>84</v>
      </c>
      <c r="D625" s="1" t="s">
        <v>147</v>
      </c>
      <c r="E625" s="1" t="s">
        <v>29</v>
      </c>
      <c r="F625" s="1" t="s">
        <v>35</v>
      </c>
      <c r="G625" s="1">
        <v>35</v>
      </c>
      <c r="H625" s="1" t="s">
        <v>104</v>
      </c>
      <c r="I625" s="1" t="s">
        <v>27</v>
      </c>
      <c r="J625" s="1">
        <v>1</v>
      </c>
      <c r="K625" s="1">
        <v>11.3</v>
      </c>
      <c r="L625" s="1">
        <v>0</v>
      </c>
      <c r="M625" s="16">
        <f t="shared" si="9"/>
        <v>11.3</v>
      </c>
      <c r="N625" s="1">
        <v>0</v>
      </c>
    </row>
    <row r="626" spans="1:14">
      <c r="A626" s="2">
        <v>46046</v>
      </c>
      <c r="B626" s="1">
        <v>1429</v>
      </c>
      <c r="C626" s="1">
        <v>84</v>
      </c>
      <c r="D626" s="1" t="s">
        <v>147</v>
      </c>
      <c r="E626" s="1" t="s">
        <v>29</v>
      </c>
      <c r="F626" s="1" t="s">
        <v>35</v>
      </c>
      <c r="G626" s="1">
        <v>22</v>
      </c>
      <c r="H626" s="1" t="s">
        <v>75</v>
      </c>
      <c r="I626" s="1" t="s">
        <v>17</v>
      </c>
      <c r="J626" s="1">
        <v>1</v>
      </c>
      <c r="K626" s="1">
        <v>29.98</v>
      </c>
      <c r="L626" s="1">
        <v>0</v>
      </c>
      <c r="M626" s="16">
        <f t="shared" si="9"/>
        <v>29.98</v>
      </c>
      <c r="N626" s="1">
        <v>0</v>
      </c>
    </row>
    <row r="627" spans="1:14">
      <c r="A627" s="2">
        <v>45947</v>
      </c>
      <c r="B627" s="1">
        <v>1018</v>
      </c>
      <c r="C627" s="1">
        <v>85</v>
      </c>
      <c r="D627" s="1" t="s">
        <v>58</v>
      </c>
      <c r="E627" s="1" t="s">
        <v>40</v>
      </c>
      <c r="F627" s="1" t="s">
        <v>19</v>
      </c>
      <c r="G627" s="1">
        <v>3</v>
      </c>
      <c r="H627" s="1" t="s">
        <v>59</v>
      </c>
      <c r="I627" s="1" t="s">
        <v>21</v>
      </c>
      <c r="J627" s="1">
        <v>1</v>
      </c>
      <c r="K627" s="1">
        <v>25.47</v>
      </c>
      <c r="L627" s="1">
        <v>0</v>
      </c>
      <c r="M627" s="16">
        <f t="shared" si="9"/>
        <v>25.47</v>
      </c>
      <c r="N627" s="1">
        <v>0</v>
      </c>
    </row>
    <row r="628" spans="1:14">
      <c r="A628" s="2">
        <v>46016</v>
      </c>
      <c r="B628" s="1">
        <v>1018</v>
      </c>
      <c r="C628" s="1">
        <v>85</v>
      </c>
      <c r="D628" s="1" t="s">
        <v>58</v>
      </c>
      <c r="E628" s="1" t="s">
        <v>40</v>
      </c>
      <c r="F628" s="1" t="s">
        <v>19</v>
      </c>
      <c r="G628" s="1">
        <v>17</v>
      </c>
      <c r="H628" s="1" t="s">
        <v>60</v>
      </c>
      <c r="I628" s="1" t="s">
        <v>17</v>
      </c>
      <c r="J628" s="1">
        <v>2</v>
      </c>
      <c r="K628" s="1">
        <v>6.61</v>
      </c>
      <c r="L628" s="1">
        <v>0</v>
      </c>
      <c r="M628" s="16">
        <f t="shared" si="9"/>
        <v>13.22</v>
      </c>
      <c r="N628" s="1">
        <v>0</v>
      </c>
    </row>
    <row r="629" spans="1:14">
      <c r="A629" s="2">
        <v>45958</v>
      </c>
      <c r="B629" s="1">
        <v>1051</v>
      </c>
      <c r="C629" s="1">
        <v>85</v>
      </c>
      <c r="D629" s="1" t="s">
        <v>58</v>
      </c>
      <c r="E629" s="1" t="s">
        <v>40</v>
      </c>
      <c r="F629" s="1" t="s">
        <v>19</v>
      </c>
      <c r="G629" s="1">
        <v>25</v>
      </c>
      <c r="H629" s="1" t="s">
        <v>214</v>
      </c>
      <c r="I629" s="1" t="s">
        <v>37</v>
      </c>
      <c r="J629" s="1">
        <v>1</v>
      </c>
      <c r="K629" s="1">
        <v>17.78</v>
      </c>
      <c r="L629" s="1">
        <v>10</v>
      </c>
      <c r="M629" s="16">
        <f t="shared" si="9"/>
        <v>16.002000000000002</v>
      </c>
      <c r="N629" s="1">
        <v>0</v>
      </c>
    </row>
    <row r="630" spans="1:14">
      <c r="A630" s="2">
        <v>46016</v>
      </c>
      <c r="B630" s="1">
        <v>1326</v>
      </c>
      <c r="C630" s="1">
        <v>85</v>
      </c>
      <c r="D630" s="1" t="s">
        <v>58</v>
      </c>
      <c r="E630" s="1" t="s">
        <v>40</v>
      </c>
      <c r="F630" s="1" t="s">
        <v>19</v>
      </c>
      <c r="G630" s="1">
        <v>29</v>
      </c>
      <c r="H630" s="1" t="s">
        <v>96</v>
      </c>
      <c r="I630" s="1" t="s">
        <v>31</v>
      </c>
      <c r="J630" s="1">
        <v>3</v>
      </c>
      <c r="K630" s="1">
        <v>45.67</v>
      </c>
      <c r="L630" s="1">
        <v>0</v>
      </c>
      <c r="M630" s="16">
        <f t="shared" si="9"/>
        <v>137.01</v>
      </c>
      <c r="N630" s="1">
        <v>0</v>
      </c>
    </row>
    <row r="631" spans="1:14">
      <c r="A631" s="2">
        <v>46204</v>
      </c>
      <c r="B631" s="1">
        <v>1377</v>
      </c>
      <c r="C631" s="1">
        <v>85</v>
      </c>
      <c r="D631" s="1" t="s">
        <v>58</v>
      </c>
      <c r="E631" s="1" t="s">
        <v>40</v>
      </c>
      <c r="F631" s="1" t="s">
        <v>19</v>
      </c>
      <c r="G631" s="1">
        <v>20</v>
      </c>
      <c r="H631" s="1" t="s">
        <v>16</v>
      </c>
      <c r="I631" s="1" t="s">
        <v>17</v>
      </c>
      <c r="J631" s="1">
        <v>1</v>
      </c>
      <c r="K631" s="1">
        <v>32.76</v>
      </c>
      <c r="L631" s="1">
        <v>15</v>
      </c>
      <c r="M631" s="16">
        <f t="shared" si="9"/>
        <v>27.845999999999997</v>
      </c>
      <c r="N631" s="1">
        <v>0</v>
      </c>
    </row>
    <row r="632" spans="1:14">
      <c r="A632" s="2">
        <v>46204</v>
      </c>
      <c r="B632" s="1">
        <v>1044</v>
      </c>
      <c r="C632" s="1">
        <v>85</v>
      </c>
      <c r="D632" s="1" t="s">
        <v>58</v>
      </c>
      <c r="E632" s="1" t="s">
        <v>40</v>
      </c>
      <c r="F632" s="1" t="s">
        <v>19</v>
      </c>
      <c r="G632" s="1">
        <v>36</v>
      </c>
      <c r="H632" s="1" t="s">
        <v>62</v>
      </c>
      <c r="I632" s="1" t="s">
        <v>27</v>
      </c>
      <c r="J632" s="1">
        <v>1</v>
      </c>
      <c r="K632" s="1">
        <v>23.23</v>
      </c>
      <c r="L632" s="1">
        <v>20</v>
      </c>
      <c r="M632" s="16">
        <f t="shared" si="9"/>
        <v>18.584</v>
      </c>
      <c r="N632" s="1">
        <v>0</v>
      </c>
    </row>
    <row r="633" spans="1:14">
      <c r="A633" s="2">
        <v>46204</v>
      </c>
      <c r="B633" s="1">
        <v>1377</v>
      </c>
      <c r="C633" s="1">
        <v>85</v>
      </c>
      <c r="D633" s="1" t="s">
        <v>58</v>
      </c>
      <c r="E633" s="1" t="s">
        <v>40</v>
      </c>
      <c r="F633" s="1" t="s">
        <v>35</v>
      </c>
      <c r="G633" s="1">
        <v>26</v>
      </c>
      <c r="H633" s="1" t="s">
        <v>83</v>
      </c>
      <c r="I633" s="1" t="s">
        <v>37</v>
      </c>
      <c r="J633" s="1">
        <v>1</v>
      </c>
      <c r="K633" s="1">
        <v>31.76</v>
      </c>
      <c r="L633" s="1">
        <v>15</v>
      </c>
      <c r="M633" s="16">
        <f t="shared" si="9"/>
        <v>26.996000000000002</v>
      </c>
      <c r="N633" s="1">
        <v>0</v>
      </c>
    </row>
    <row r="634" spans="1:14">
      <c r="A634" s="2">
        <v>46204</v>
      </c>
      <c r="B634" s="1">
        <v>1377</v>
      </c>
      <c r="C634" s="1">
        <f>_xlfn.XLOOKUP(D634,'Customer Data'!B:B,'Customer Data'!A:A,"Not Found")</f>
        <v>85</v>
      </c>
      <c r="D634" s="1" t="s">
        <v>58</v>
      </c>
      <c r="E634" s="1" t="s">
        <v>40</v>
      </c>
      <c r="F634" s="1" t="s">
        <v>19</v>
      </c>
      <c r="G634" s="1">
        <v>4</v>
      </c>
      <c r="H634" s="1" t="s">
        <v>92</v>
      </c>
      <c r="I634" s="1" t="s">
        <v>21</v>
      </c>
      <c r="J634" s="1">
        <v>1</v>
      </c>
      <c r="K634" s="1">
        <v>34.83</v>
      </c>
      <c r="L634" s="1">
        <v>10</v>
      </c>
      <c r="M634" s="16">
        <f t="shared" si="9"/>
        <v>31.346999999999998</v>
      </c>
      <c r="N634" s="1">
        <v>0</v>
      </c>
    </row>
    <row r="635" spans="1:14">
      <c r="A635" s="2">
        <v>46002</v>
      </c>
      <c r="B635" s="1">
        <v>1117</v>
      </c>
      <c r="C635" s="1">
        <v>86</v>
      </c>
      <c r="D635" s="1" t="s">
        <v>126</v>
      </c>
      <c r="E635" s="1" t="s">
        <v>68</v>
      </c>
      <c r="F635" s="1" t="s">
        <v>74</v>
      </c>
      <c r="G635" s="1">
        <v>20</v>
      </c>
      <c r="H635" s="1" t="s">
        <v>16</v>
      </c>
      <c r="I635" s="1" t="s">
        <v>17</v>
      </c>
      <c r="J635" s="1">
        <v>2</v>
      </c>
      <c r="K635" s="1">
        <v>32.76</v>
      </c>
      <c r="L635" s="1">
        <v>25</v>
      </c>
      <c r="M635" s="16">
        <f t="shared" si="9"/>
        <v>49.14</v>
      </c>
      <c r="N635" s="1">
        <v>0</v>
      </c>
    </row>
    <row r="636" spans="1:14">
      <c r="A636" s="2">
        <v>46002</v>
      </c>
      <c r="B636" s="1">
        <v>1117</v>
      </c>
      <c r="C636" s="1">
        <v>86</v>
      </c>
      <c r="D636" s="1" t="s">
        <v>126</v>
      </c>
      <c r="E636" s="1" t="s">
        <v>68</v>
      </c>
      <c r="F636" s="1" t="s">
        <v>74</v>
      </c>
      <c r="G636" s="1">
        <v>20</v>
      </c>
      <c r="H636" s="1" t="s">
        <v>16</v>
      </c>
      <c r="I636" s="1" t="s">
        <v>17</v>
      </c>
      <c r="J636" s="1">
        <v>3</v>
      </c>
      <c r="K636" s="1">
        <v>32.76</v>
      </c>
      <c r="L636" s="1">
        <v>10</v>
      </c>
      <c r="M636" s="16">
        <f t="shared" si="9"/>
        <v>88.451999999999998</v>
      </c>
      <c r="N636" s="1">
        <v>0</v>
      </c>
    </row>
    <row r="637" spans="1:14">
      <c r="A637" s="2">
        <v>46002</v>
      </c>
      <c r="B637" s="1">
        <v>1117</v>
      </c>
      <c r="C637" s="1">
        <v>86</v>
      </c>
      <c r="D637" s="1" t="s">
        <v>126</v>
      </c>
      <c r="E637" s="1" t="s">
        <v>68</v>
      </c>
      <c r="F637" s="1" t="s">
        <v>74</v>
      </c>
      <c r="G637" s="1">
        <v>9</v>
      </c>
      <c r="H637" s="1" t="s">
        <v>69</v>
      </c>
      <c r="I637" s="1" t="s">
        <v>33</v>
      </c>
      <c r="J637" s="1">
        <v>2</v>
      </c>
      <c r="K637" s="1">
        <v>20.69</v>
      </c>
      <c r="L637" s="1">
        <v>15</v>
      </c>
      <c r="M637" s="16">
        <f t="shared" si="9"/>
        <v>35.173000000000002</v>
      </c>
      <c r="N637" s="1">
        <v>0</v>
      </c>
    </row>
    <row r="638" spans="1:14">
      <c r="A638" s="2">
        <v>46002</v>
      </c>
      <c r="B638" s="1">
        <v>1117</v>
      </c>
      <c r="C638" s="1">
        <v>86</v>
      </c>
      <c r="D638" s="1" t="s">
        <v>126</v>
      </c>
      <c r="E638" s="1" t="s">
        <v>68</v>
      </c>
      <c r="F638" s="1" t="s">
        <v>74</v>
      </c>
      <c r="G638" s="1">
        <v>10</v>
      </c>
      <c r="H638" s="1" t="s">
        <v>32</v>
      </c>
      <c r="I638" s="1" t="s">
        <v>33</v>
      </c>
      <c r="J638" s="1">
        <v>1</v>
      </c>
      <c r="K638" s="1">
        <v>62.68</v>
      </c>
      <c r="L638" s="1">
        <v>10</v>
      </c>
      <c r="M638" s="16">
        <f t="shared" si="9"/>
        <v>56.411999999999999</v>
      </c>
      <c r="N638" s="1">
        <v>0</v>
      </c>
    </row>
    <row r="639" spans="1:14">
      <c r="A639" s="2">
        <v>45989</v>
      </c>
      <c r="B639" s="1">
        <v>1193</v>
      </c>
      <c r="C639" s="1">
        <v>86</v>
      </c>
      <c r="D639" s="1" t="s">
        <v>126</v>
      </c>
      <c r="E639" s="1" t="s">
        <v>68</v>
      </c>
      <c r="F639" s="1" t="s">
        <v>74</v>
      </c>
      <c r="G639" s="1">
        <v>37</v>
      </c>
      <c r="H639" s="1" t="s">
        <v>26</v>
      </c>
      <c r="I639" s="1" t="s">
        <v>27</v>
      </c>
      <c r="J639" s="1">
        <v>2</v>
      </c>
      <c r="K639" s="1">
        <v>52.67</v>
      </c>
      <c r="L639" s="1">
        <v>0</v>
      </c>
      <c r="M639" s="16">
        <f t="shared" si="9"/>
        <v>105.34</v>
      </c>
      <c r="N639" s="1">
        <v>0</v>
      </c>
    </row>
    <row r="640" spans="1:14">
      <c r="A640" s="2">
        <v>45989</v>
      </c>
      <c r="B640" s="1">
        <v>1193</v>
      </c>
      <c r="C640" s="1">
        <v>86</v>
      </c>
      <c r="D640" s="1" t="s">
        <v>126</v>
      </c>
      <c r="E640" s="1" t="s">
        <v>68</v>
      </c>
      <c r="F640" s="1" t="s">
        <v>74</v>
      </c>
      <c r="G640" s="1">
        <v>28</v>
      </c>
      <c r="H640" s="1" t="s">
        <v>51</v>
      </c>
      <c r="I640" s="1" t="s">
        <v>37</v>
      </c>
      <c r="J640" s="1">
        <v>1</v>
      </c>
      <c r="K640" s="1">
        <v>21.24</v>
      </c>
      <c r="L640" s="1">
        <v>0</v>
      </c>
      <c r="M640" s="16">
        <f t="shared" si="9"/>
        <v>21.24</v>
      </c>
      <c r="N640" s="1">
        <v>0</v>
      </c>
    </row>
    <row r="641" spans="1:14">
      <c r="A641" s="2">
        <v>45989</v>
      </c>
      <c r="B641" s="1">
        <v>1193</v>
      </c>
      <c r="C641" s="1">
        <v>86</v>
      </c>
      <c r="D641" s="1" t="s">
        <v>126</v>
      </c>
      <c r="E641" s="1" t="s">
        <v>68</v>
      </c>
      <c r="F641" s="1" t="s">
        <v>74</v>
      </c>
      <c r="G641" s="1">
        <v>39</v>
      </c>
      <c r="H641" s="1" t="s">
        <v>36</v>
      </c>
      <c r="I641" s="1" t="s">
        <v>27</v>
      </c>
      <c r="J641" s="1">
        <v>1</v>
      </c>
      <c r="K641" s="1">
        <v>39.979999999999997</v>
      </c>
      <c r="L641" s="1">
        <v>0</v>
      </c>
      <c r="M641" s="16">
        <f t="shared" si="9"/>
        <v>39.979999999999997</v>
      </c>
      <c r="N641" s="1">
        <v>0</v>
      </c>
    </row>
    <row r="642" spans="1:14">
      <c r="A642" s="2">
        <v>45989</v>
      </c>
      <c r="B642" s="1">
        <v>1193</v>
      </c>
      <c r="C642" s="1">
        <v>86</v>
      </c>
      <c r="D642" s="1" t="s">
        <v>126</v>
      </c>
      <c r="E642" s="1" t="s">
        <v>68</v>
      </c>
      <c r="F642" s="1" t="s">
        <v>35</v>
      </c>
      <c r="G642" s="1">
        <v>23</v>
      </c>
      <c r="H642" s="1" t="s">
        <v>98</v>
      </c>
      <c r="I642" s="1" t="s">
        <v>37</v>
      </c>
      <c r="J642" s="1">
        <v>1</v>
      </c>
      <c r="K642" s="1">
        <v>38.14</v>
      </c>
      <c r="L642" s="1">
        <v>0</v>
      </c>
      <c r="M642" s="16">
        <f t="shared" si="9"/>
        <v>38.14</v>
      </c>
      <c r="N642" s="1">
        <v>0</v>
      </c>
    </row>
    <row r="643" spans="1:14">
      <c r="A643" s="2">
        <v>46016</v>
      </c>
      <c r="B643" s="1">
        <v>1240</v>
      </c>
      <c r="C643" s="1">
        <v>86</v>
      </c>
      <c r="D643" s="1" t="s">
        <v>126</v>
      </c>
      <c r="E643" s="1" t="s">
        <v>68</v>
      </c>
      <c r="F643" s="1" t="s">
        <v>35</v>
      </c>
      <c r="G643" s="1">
        <v>30</v>
      </c>
      <c r="H643" s="1" t="s">
        <v>57</v>
      </c>
      <c r="I643" s="1" t="s">
        <v>31</v>
      </c>
      <c r="J643" s="1">
        <v>1</v>
      </c>
      <c r="K643" s="1">
        <v>41.49</v>
      </c>
      <c r="L643" s="1">
        <v>0</v>
      </c>
      <c r="M643" s="16">
        <f t="shared" ref="M643:M706" si="10">J643*K643*(1-L643/100)</f>
        <v>41.49</v>
      </c>
      <c r="N643" s="1">
        <v>0</v>
      </c>
    </row>
    <row r="644" spans="1:14">
      <c r="A644" s="2">
        <v>45881</v>
      </c>
      <c r="B644" s="1">
        <v>1240</v>
      </c>
      <c r="C644" s="1">
        <v>86</v>
      </c>
      <c r="D644" s="1" t="s">
        <v>126</v>
      </c>
      <c r="E644" s="1" t="s">
        <v>68</v>
      </c>
      <c r="F644" s="1" t="s">
        <v>74</v>
      </c>
      <c r="G644" s="1">
        <v>12</v>
      </c>
      <c r="H644" s="1" t="s">
        <v>215</v>
      </c>
      <c r="I644" s="1" t="s">
        <v>33</v>
      </c>
      <c r="J644" s="1">
        <v>2</v>
      </c>
      <c r="K644" s="1">
        <v>8.4499999999999993</v>
      </c>
      <c r="L644" s="1">
        <v>0</v>
      </c>
      <c r="M644" s="16">
        <f t="shared" si="10"/>
        <v>16.899999999999999</v>
      </c>
      <c r="N644" s="1">
        <v>0</v>
      </c>
    </row>
    <row r="645" spans="1:14">
      <c r="A645" s="2">
        <v>45999</v>
      </c>
      <c r="B645" s="1">
        <v>1044</v>
      </c>
      <c r="C645" s="1">
        <v>86</v>
      </c>
      <c r="D645" s="1" t="s">
        <v>126</v>
      </c>
      <c r="E645" s="1" t="s">
        <v>68</v>
      </c>
      <c r="F645" s="1" t="s">
        <v>74</v>
      </c>
      <c r="G645" s="1">
        <v>3</v>
      </c>
      <c r="H645" s="1" t="s">
        <v>59</v>
      </c>
      <c r="I645" s="1" t="s">
        <v>21</v>
      </c>
      <c r="J645" s="1">
        <v>1</v>
      </c>
      <c r="K645" s="1">
        <v>25.47</v>
      </c>
      <c r="L645" s="1">
        <v>5.5</v>
      </c>
      <c r="M645" s="16">
        <f t="shared" si="10"/>
        <v>24.069149999999997</v>
      </c>
      <c r="N645" s="1">
        <v>0</v>
      </c>
    </row>
    <row r="646" spans="1:14">
      <c r="A646" s="2">
        <v>46009</v>
      </c>
      <c r="B646" s="1">
        <v>1294</v>
      </c>
      <c r="C646" s="1">
        <v>86</v>
      </c>
      <c r="D646" s="1" t="s">
        <v>126</v>
      </c>
      <c r="E646" s="1" t="s">
        <v>68</v>
      </c>
      <c r="F646" s="1" t="s">
        <v>74</v>
      </c>
      <c r="G646" s="1">
        <v>35</v>
      </c>
      <c r="H646" s="1" t="s">
        <v>104</v>
      </c>
      <c r="I646" s="1" t="s">
        <v>27</v>
      </c>
      <c r="J646" s="1">
        <v>1</v>
      </c>
      <c r="K646" s="1">
        <v>11.3</v>
      </c>
      <c r="L646" s="1">
        <v>0</v>
      </c>
      <c r="M646" s="16">
        <f t="shared" si="10"/>
        <v>11.3</v>
      </c>
      <c r="N646" s="1">
        <v>0</v>
      </c>
    </row>
    <row r="647" spans="1:14">
      <c r="A647" s="2">
        <v>46009</v>
      </c>
      <c r="B647" s="1">
        <v>1294</v>
      </c>
      <c r="C647" s="1">
        <v>86</v>
      </c>
      <c r="D647" s="1" t="s">
        <v>126</v>
      </c>
      <c r="E647" s="1" t="s">
        <v>68</v>
      </c>
      <c r="F647" s="1" t="s">
        <v>74</v>
      </c>
      <c r="G647" s="1">
        <v>8</v>
      </c>
      <c r="H647" s="1" t="s">
        <v>84</v>
      </c>
      <c r="I647" s="1" t="s">
        <v>21</v>
      </c>
      <c r="J647" s="1">
        <v>2</v>
      </c>
      <c r="K647" s="1">
        <v>16.72</v>
      </c>
      <c r="L647" s="1">
        <v>0</v>
      </c>
      <c r="M647" s="16">
        <f t="shared" si="10"/>
        <v>33.44</v>
      </c>
      <c r="N647" s="1">
        <v>0</v>
      </c>
    </row>
    <row r="648" spans="1:14">
      <c r="A648" s="2">
        <v>46072</v>
      </c>
      <c r="B648" s="1">
        <v>1502</v>
      </c>
      <c r="C648" s="1">
        <v>87</v>
      </c>
      <c r="D648" s="1" t="s">
        <v>185</v>
      </c>
      <c r="E648" s="1" t="s">
        <v>68</v>
      </c>
      <c r="F648" s="1" t="s">
        <v>15</v>
      </c>
      <c r="G648" s="1">
        <v>21</v>
      </c>
      <c r="H648" s="1" t="s">
        <v>97</v>
      </c>
      <c r="I648" s="1" t="s">
        <v>17</v>
      </c>
      <c r="J648" s="1">
        <v>1</v>
      </c>
      <c r="K648" s="1">
        <v>49.37</v>
      </c>
      <c r="L648" s="1">
        <v>0</v>
      </c>
      <c r="M648" s="16">
        <f t="shared" si="10"/>
        <v>49.37</v>
      </c>
      <c r="N648" s="1">
        <v>0</v>
      </c>
    </row>
    <row r="649" spans="1:14">
      <c r="A649" s="2">
        <v>45961</v>
      </c>
      <c r="B649" s="1">
        <v>1061</v>
      </c>
      <c r="C649" s="1">
        <v>88</v>
      </c>
      <c r="D649" s="1" t="s">
        <v>110</v>
      </c>
      <c r="E649" s="1" t="s">
        <v>29</v>
      </c>
      <c r="F649" s="1" t="s">
        <v>55</v>
      </c>
      <c r="G649" s="1">
        <v>26</v>
      </c>
      <c r="H649" s="1" t="s">
        <v>83</v>
      </c>
      <c r="I649" s="1" t="s">
        <v>37</v>
      </c>
      <c r="J649" s="1">
        <v>1</v>
      </c>
      <c r="K649" s="1">
        <v>31.76</v>
      </c>
      <c r="L649" s="1">
        <v>0</v>
      </c>
      <c r="M649" s="16">
        <f t="shared" si="10"/>
        <v>31.76</v>
      </c>
      <c r="N649" s="1">
        <v>0</v>
      </c>
    </row>
    <row r="650" spans="1:14">
      <c r="A650" s="2">
        <v>45988</v>
      </c>
      <c r="B650" s="1">
        <v>1189</v>
      </c>
      <c r="C650" s="1">
        <v>88</v>
      </c>
      <c r="D650" s="1" t="s">
        <v>110</v>
      </c>
      <c r="E650" s="1" t="s">
        <v>29</v>
      </c>
      <c r="F650" s="1" t="s">
        <v>55</v>
      </c>
      <c r="G650" s="1">
        <v>25</v>
      </c>
      <c r="H650" s="1" t="s">
        <v>214</v>
      </c>
      <c r="I650" s="1" t="s">
        <v>37</v>
      </c>
      <c r="J650" s="1">
        <v>2</v>
      </c>
      <c r="K650" s="1">
        <v>17.78</v>
      </c>
      <c r="L650" s="1">
        <v>0</v>
      </c>
      <c r="M650" s="16">
        <f t="shared" si="10"/>
        <v>35.56</v>
      </c>
      <c r="N650" s="1">
        <v>0</v>
      </c>
    </row>
    <row r="651" spans="1:14">
      <c r="A651" s="2">
        <v>45988</v>
      </c>
      <c r="B651" s="1">
        <v>1189</v>
      </c>
      <c r="C651" s="1">
        <v>88</v>
      </c>
      <c r="D651" s="1" t="s">
        <v>110</v>
      </c>
      <c r="E651" s="1" t="s">
        <v>29</v>
      </c>
      <c r="F651" s="1" t="s">
        <v>55</v>
      </c>
      <c r="G651" s="1">
        <v>23</v>
      </c>
      <c r="H651" s="1" t="s">
        <v>98</v>
      </c>
      <c r="I651" s="1" t="s">
        <v>37</v>
      </c>
      <c r="J651" s="1">
        <v>1</v>
      </c>
      <c r="K651" s="1">
        <v>38.14</v>
      </c>
      <c r="L651" s="1">
        <v>0</v>
      </c>
      <c r="M651" s="16">
        <f t="shared" si="10"/>
        <v>38.14</v>
      </c>
      <c r="N651" s="1">
        <v>0</v>
      </c>
    </row>
    <row r="652" spans="1:14">
      <c r="A652" s="2">
        <v>45988</v>
      </c>
      <c r="B652" s="1">
        <v>1189</v>
      </c>
      <c r="C652" s="1">
        <v>88</v>
      </c>
      <c r="D652" s="1" t="s">
        <v>110</v>
      </c>
      <c r="E652" s="1" t="s">
        <v>29</v>
      </c>
      <c r="F652" s="1" t="s">
        <v>55</v>
      </c>
      <c r="G652" s="1">
        <v>17</v>
      </c>
      <c r="H652" s="1" t="s">
        <v>60</v>
      </c>
      <c r="I652" s="1" t="s">
        <v>17</v>
      </c>
      <c r="J652" s="1">
        <v>1</v>
      </c>
      <c r="K652" s="1">
        <v>6.61</v>
      </c>
      <c r="L652" s="1">
        <v>0</v>
      </c>
      <c r="M652" s="16">
        <f t="shared" si="10"/>
        <v>6.61</v>
      </c>
      <c r="N652" s="1">
        <v>0</v>
      </c>
    </row>
    <row r="653" spans="1:14">
      <c r="A653" s="2">
        <v>45700</v>
      </c>
      <c r="B653" s="1">
        <v>1214</v>
      </c>
      <c r="C653" s="1">
        <v>88</v>
      </c>
      <c r="D653" s="1" t="s">
        <v>110</v>
      </c>
      <c r="E653" s="1" t="s">
        <v>29</v>
      </c>
      <c r="F653" s="1" t="s">
        <v>55</v>
      </c>
      <c r="G653" s="1">
        <v>34</v>
      </c>
      <c r="H653" s="1" t="s">
        <v>130</v>
      </c>
      <c r="I653" s="1" t="s">
        <v>31</v>
      </c>
      <c r="J653" s="1">
        <v>2</v>
      </c>
      <c r="K653" s="1">
        <v>58.26</v>
      </c>
      <c r="L653" s="1">
        <v>0</v>
      </c>
      <c r="M653" s="16">
        <f t="shared" si="10"/>
        <v>116.52</v>
      </c>
      <c r="N653" s="1">
        <v>0</v>
      </c>
    </row>
    <row r="654" spans="1:14">
      <c r="A654" s="2">
        <v>45700</v>
      </c>
      <c r="B654" s="1">
        <v>1214</v>
      </c>
      <c r="C654" s="1">
        <v>88</v>
      </c>
      <c r="D654" s="1" t="s">
        <v>110</v>
      </c>
      <c r="E654" s="1" t="s">
        <v>29</v>
      </c>
      <c r="F654" s="1" t="s">
        <v>35</v>
      </c>
      <c r="G654" s="1">
        <v>13</v>
      </c>
      <c r="H654" s="1" t="s">
        <v>45</v>
      </c>
      <c r="I654" s="1" t="s">
        <v>33</v>
      </c>
      <c r="J654" s="1">
        <v>1</v>
      </c>
      <c r="K654" s="1">
        <v>54.9</v>
      </c>
      <c r="L654" s="1">
        <v>0</v>
      </c>
      <c r="M654" s="16">
        <f t="shared" si="10"/>
        <v>54.9</v>
      </c>
      <c r="N654" s="1">
        <v>0</v>
      </c>
    </row>
    <row r="655" spans="1:14">
      <c r="A655" s="2">
        <v>46013</v>
      </c>
      <c r="B655" s="1">
        <v>1310</v>
      </c>
      <c r="C655" s="1">
        <v>88</v>
      </c>
      <c r="D655" s="1" t="s">
        <v>110</v>
      </c>
      <c r="E655" s="1" t="s">
        <v>29</v>
      </c>
      <c r="F655" s="1" t="s">
        <v>55</v>
      </c>
      <c r="G655" s="1">
        <v>30</v>
      </c>
      <c r="H655" s="1" t="s">
        <v>57</v>
      </c>
      <c r="I655" s="1" t="s">
        <v>31</v>
      </c>
      <c r="J655" s="1">
        <v>1</v>
      </c>
      <c r="K655" s="1">
        <v>41.49</v>
      </c>
      <c r="L655" s="1">
        <v>25</v>
      </c>
      <c r="M655" s="16">
        <f t="shared" si="10"/>
        <v>31.1175</v>
      </c>
      <c r="N655" s="1">
        <v>0</v>
      </c>
    </row>
    <row r="656" spans="1:14">
      <c r="A656" s="2">
        <v>45911</v>
      </c>
      <c r="B656" s="1">
        <v>1099</v>
      </c>
      <c r="C656" s="1">
        <v>89</v>
      </c>
      <c r="D656" s="1" t="s">
        <v>119</v>
      </c>
      <c r="E656" s="1" t="s">
        <v>29</v>
      </c>
      <c r="F656" s="1" t="s">
        <v>74</v>
      </c>
      <c r="G656" s="1">
        <v>6</v>
      </c>
      <c r="H656" s="1" t="s">
        <v>99</v>
      </c>
      <c r="I656" s="1" t="s">
        <v>21</v>
      </c>
      <c r="J656" s="1">
        <v>1</v>
      </c>
      <c r="K656" s="1">
        <v>70.47</v>
      </c>
      <c r="L656" s="1">
        <v>25</v>
      </c>
      <c r="M656" s="16">
        <f t="shared" si="10"/>
        <v>52.852499999999999</v>
      </c>
      <c r="N656" s="1">
        <v>0</v>
      </c>
    </row>
    <row r="657" spans="1:14">
      <c r="A657" s="2">
        <v>45911</v>
      </c>
      <c r="B657" s="1">
        <v>1099</v>
      </c>
      <c r="C657" s="1">
        <v>89</v>
      </c>
      <c r="D657" s="1" t="s">
        <v>119</v>
      </c>
      <c r="E657" s="1" t="s">
        <v>29</v>
      </c>
      <c r="F657" s="1" t="s">
        <v>74</v>
      </c>
      <c r="G657" s="1">
        <v>40</v>
      </c>
      <c r="H657" s="1" t="s">
        <v>53</v>
      </c>
      <c r="I657" s="1" t="s">
        <v>27</v>
      </c>
      <c r="J657" s="1">
        <v>3</v>
      </c>
      <c r="K657" s="1">
        <v>47.25</v>
      </c>
      <c r="L657" s="1">
        <v>15</v>
      </c>
      <c r="M657" s="16">
        <f t="shared" si="10"/>
        <v>120.4875</v>
      </c>
      <c r="N657" s="1">
        <v>0</v>
      </c>
    </row>
    <row r="658" spans="1:14">
      <c r="A658" s="2">
        <v>45982</v>
      </c>
      <c r="B658" s="1">
        <v>1159</v>
      </c>
      <c r="C658" s="1">
        <v>89</v>
      </c>
      <c r="D658" s="1" t="s">
        <v>119</v>
      </c>
      <c r="E658" s="1" t="s">
        <v>29</v>
      </c>
      <c r="F658" s="1" t="s">
        <v>35</v>
      </c>
      <c r="G658" s="1">
        <v>38</v>
      </c>
      <c r="H658" s="1" t="s">
        <v>70</v>
      </c>
      <c r="I658" s="1" t="s">
        <v>27</v>
      </c>
      <c r="J658" s="1">
        <v>1</v>
      </c>
      <c r="K658" s="1">
        <v>25.14</v>
      </c>
      <c r="L658" s="1">
        <v>0</v>
      </c>
      <c r="M658" s="16">
        <f t="shared" si="10"/>
        <v>25.14</v>
      </c>
      <c r="N658" s="1">
        <v>0</v>
      </c>
    </row>
    <row r="659" spans="1:14">
      <c r="A659" s="2">
        <v>45982</v>
      </c>
      <c r="B659" s="1">
        <v>1159</v>
      </c>
      <c r="C659" s="1">
        <v>89</v>
      </c>
      <c r="D659" s="1" t="s">
        <v>119</v>
      </c>
      <c r="E659" s="1" t="s">
        <v>29</v>
      </c>
      <c r="F659" s="1" t="s">
        <v>74</v>
      </c>
      <c r="G659" s="1">
        <v>16</v>
      </c>
      <c r="H659" s="1" t="s">
        <v>77</v>
      </c>
      <c r="I659" s="1" t="s">
        <v>17</v>
      </c>
      <c r="J659" s="1">
        <v>2</v>
      </c>
      <c r="K659" s="1">
        <v>11.81</v>
      </c>
      <c r="L659" s="1">
        <v>0</v>
      </c>
      <c r="M659" s="16">
        <f t="shared" si="10"/>
        <v>23.62</v>
      </c>
      <c r="N659" s="1">
        <v>1</v>
      </c>
    </row>
    <row r="660" spans="1:14">
      <c r="A660" s="2">
        <v>46004</v>
      </c>
      <c r="B660" s="1">
        <v>1271</v>
      </c>
      <c r="C660" s="1">
        <v>89</v>
      </c>
      <c r="D660" s="1" t="s">
        <v>119</v>
      </c>
      <c r="E660" s="1" t="s">
        <v>29</v>
      </c>
      <c r="F660" s="1" t="s">
        <v>74</v>
      </c>
      <c r="G660" s="1">
        <v>7</v>
      </c>
      <c r="H660" s="1" t="s">
        <v>46</v>
      </c>
      <c r="I660" s="1" t="s">
        <v>21</v>
      </c>
      <c r="J660" s="1">
        <v>1</v>
      </c>
      <c r="K660" s="1">
        <v>79.39</v>
      </c>
      <c r="L660" s="1">
        <v>0</v>
      </c>
      <c r="M660" s="16">
        <f t="shared" si="10"/>
        <v>79.39</v>
      </c>
      <c r="N660" s="1">
        <v>0</v>
      </c>
    </row>
    <row r="661" spans="1:14">
      <c r="A661" s="2">
        <v>46004</v>
      </c>
      <c r="B661" s="1">
        <v>1271</v>
      </c>
      <c r="C661" s="1">
        <v>89</v>
      </c>
      <c r="D661" s="1" t="s">
        <v>119</v>
      </c>
      <c r="E661" s="1" t="s">
        <v>29</v>
      </c>
      <c r="F661" s="1" t="s">
        <v>74</v>
      </c>
      <c r="G661" s="1">
        <v>4</v>
      </c>
      <c r="H661" s="1" t="s">
        <v>92</v>
      </c>
      <c r="I661" s="1" t="s">
        <v>21</v>
      </c>
      <c r="J661" s="1">
        <v>2</v>
      </c>
      <c r="K661" s="1">
        <v>34.83</v>
      </c>
      <c r="L661" s="1">
        <v>0</v>
      </c>
      <c r="M661" s="16">
        <f t="shared" si="10"/>
        <v>69.66</v>
      </c>
      <c r="N661" s="1">
        <v>0</v>
      </c>
    </row>
    <row r="662" spans="1:14">
      <c r="A662" s="2">
        <v>46017</v>
      </c>
      <c r="B662" s="1">
        <v>1332</v>
      </c>
      <c r="C662" s="1">
        <v>89</v>
      </c>
      <c r="D662" s="1" t="s">
        <v>119</v>
      </c>
      <c r="E662" s="1" t="s">
        <v>29</v>
      </c>
      <c r="F662" s="1" t="s">
        <v>74</v>
      </c>
      <c r="G662" s="1">
        <v>32</v>
      </c>
      <c r="H662" s="1" t="s">
        <v>103</v>
      </c>
      <c r="I662" s="1" t="s">
        <v>31</v>
      </c>
      <c r="J662" s="1">
        <v>1</v>
      </c>
      <c r="K662" s="1">
        <v>61.06</v>
      </c>
      <c r="L662" s="1">
        <v>0</v>
      </c>
      <c r="M662" s="16">
        <f t="shared" si="10"/>
        <v>61.06</v>
      </c>
      <c r="N662" s="1">
        <v>0</v>
      </c>
    </row>
    <row r="663" spans="1:14">
      <c r="A663" s="2">
        <v>46017</v>
      </c>
      <c r="B663" s="1">
        <v>1332</v>
      </c>
      <c r="C663" s="1">
        <v>89</v>
      </c>
      <c r="D663" s="1" t="s">
        <v>119</v>
      </c>
      <c r="E663" s="1" t="s">
        <v>29</v>
      </c>
      <c r="F663" s="1" t="s">
        <v>74</v>
      </c>
      <c r="G663" s="1">
        <v>13</v>
      </c>
      <c r="H663" s="1" t="s">
        <v>45</v>
      </c>
      <c r="I663" s="1" t="s">
        <v>33</v>
      </c>
      <c r="J663" s="1">
        <v>1</v>
      </c>
      <c r="K663" s="1">
        <v>54.9</v>
      </c>
      <c r="L663" s="1">
        <v>5.5</v>
      </c>
      <c r="M663" s="16">
        <f t="shared" si="10"/>
        <v>51.880499999999998</v>
      </c>
      <c r="N663" s="1">
        <v>0</v>
      </c>
    </row>
    <row r="664" spans="1:14">
      <c r="A664" s="2">
        <v>46017</v>
      </c>
      <c r="B664" s="1">
        <v>1332</v>
      </c>
      <c r="C664" s="1">
        <v>89</v>
      </c>
      <c r="D664" s="1" t="s">
        <v>119</v>
      </c>
      <c r="E664" s="1" t="s">
        <v>29</v>
      </c>
      <c r="F664" s="1" t="s">
        <v>74</v>
      </c>
      <c r="G664" s="1">
        <v>7</v>
      </c>
      <c r="H664" s="1" t="s">
        <v>46</v>
      </c>
      <c r="I664" s="1" t="s">
        <v>21</v>
      </c>
      <c r="J664" s="1">
        <v>1</v>
      </c>
      <c r="K664" s="1">
        <v>79.39</v>
      </c>
      <c r="L664" s="1">
        <v>0</v>
      </c>
      <c r="M664" s="16">
        <f t="shared" si="10"/>
        <v>79.39</v>
      </c>
      <c r="N664" s="1">
        <v>0</v>
      </c>
    </row>
    <row r="665" spans="1:14">
      <c r="A665" s="2">
        <v>46113</v>
      </c>
      <c r="B665" s="1">
        <v>1370</v>
      </c>
      <c r="C665" s="1">
        <v>89</v>
      </c>
      <c r="D665" s="1" t="s">
        <v>119</v>
      </c>
      <c r="E665" s="1" t="s">
        <v>29</v>
      </c>
      <c r="F665" s="1" t="s">
        <v>74</v>
      </c>
      <c r="G665" s="1">
        <v>9</v>
      </c>
      <c r="H665" s="1" t="s">
        <v>69</v>
      </c>
      <c r="I665" s="1" t="s">
        <v>33</v>
      </c>
      <c r="J665" s="1">
        <v>1</v>
      </c>
      <c r="K665" s="1">
        <v>20.69</v>
      </c>
      <c r="L665" s="1">
        <v>0</v>
      </c>
      <c r="M665" s="16">
        <f t="shared" si="10"/>
        <v>20.69</v>
      </c>
      <c r="N665" s="1">
        <v>0</v>
      </c>
    </row>
    <row r="666" spans="1:14">
      <c r="A666" s="2">
        <v>46113</v>
      </c>
      <c r="B666" s="1">
        <v>1370</v>
      </c>
      <c r="C666" s="1">
        <v>89</v>
      </c>
      <c r="D666" s="1" t="s">
        <v>119</v>
      </c>
      <c r="E666" s="1" t="s">
        <v>29</v>
      </c>
      <c r="F666" s="1" t="s">
        <v>74</v>
      </c>
      <c r="G666" s="1">
        <v>13</v>
      </c>
      <c r="H666" s="1" t="s">
        <v>45</v>
      </c>
      <c r="I666" s="1" t="s">
        <v>33</v>
      </c>
      <c r="J666" s="1">
        <v>1</v>
      </c>
      <c r="K666" s="1">
        <v>54.9</v>
      </c>
      <c r="L666" s="1">
        <v>5.5</v>
      </c>
      <c r="M666" s="16">
        <f t="shared" si="10"/>
        <v>51.880499999999998</v>
      </c>
      <c r="N666" s="1">
        <v>1</v>
      </c>
    </row>
    <row r="667" spans="1:14">
      <c r="A667" s="2">
        <v>46327</v>
      </c>
      <c r="B667" s="1">
        <v>1392</v>
      </c>
      <c r="C667" s="1">
        <v>89</v>
      </c>
      <c r="D667" s="1" t="s">
        <v>119</v>
      </c>
      <c r="E667" s="1" t="s">
        <v>29</v>
      </c>
      <c r="F667" s="1" t="s">
        <v>74</v>
      </c>
      <c r="G667" s="1">
        <v>11</v>
      </c>
      <c r="H667" s="1" t="s">
        <v>65</v>
      </c>
      <c r="I667" s="1" t="s">
        <v>33</v>
      </c>
      <c r="J667" s="1">
        <v>1</v>
      </c>
      <c r="K667" s="1">
        <v>58.35</v>
      </c>
      <c r="L667" s="1">
        <v>0</v>
      </c>
      <c r="M667" s="16">
        <f t="shared" si="10"/>
        <v>58.35</v>
      </c>
      <c r="N667" s="1">
        <v>0</v>
      </c>
    </row>
    <row r="668" spans="1:14">
      <c r="A668" s="2">
        <v>45759</v>
      </c>
      <c r="B668" s="1">
        <v>1223</v>
      </c>
      <c r="C668" s="1">
        <v>90</v>
      </c>
      <c r="D668" s="1" t="s">
        <v>155</v>
      </c>
      <c r="E668" s="1" t="s">
        <v>40</v>
      </c>
      <c r="F668" s="1" t="s">
        <v>35</v>
      </c>
      <c r="G668" s="1">
        <v>31</v>
      </c>
      <c r="H668" s="1" t="s">
        <v>30</v>
      </c>
      <c r="I668" s="1" t="s">
        <v>31</v>
      </c>
      <c r="J668" s="1">
        <v>2</v>
      </c>
      <c r="K668" s="1">
        <v>38.869999999999997</v>
      </c>
      <c r="L668" s="1">
        <v>20</v>
      </c>
      <c r="M668" s="16">
        <f t="shared" si="10"/>
        <v>62.192</v>
      </c>
      <c r="N668" s="1">
        <v>0</v>
      </c>
    </row>
    <row r="669" spans="1:14">
      <c r="A669" s="2">
        <v>45759</v>
      </c>
      <c r="B669" s="1">
        <v>1223</v>
      </c>
      <c r="C669" s="1">
        <v>90</v>
      </c>
      <c r="D669" s="1" t="s">
        <v>155</v>
      </c>
      <c r="E669" s="1" t="s">
        <v>40</v>
      </c>
      <c r="F669" s="1" t="s">
        <v>35</v>
      </c>
      <c r="G669" s="1">
        <v>38</v>
      </c>
      <c r="H669" s="1" t="s">
        <v>70</v>
      </c>
      <c r="I669" s="1" t="s">
        <v>27</v>
      </c>
      <c r="J669" s="1">
        <v>1</v>
      </c>
      <c r="K669" s="1">
        <v>25.14</v>
      </c>
      <c r="L669" s="1">
        <v>20</v>
      </c>
      <c r="M669" s="16">
        <f t="shared" si="10"/>
        <v>20.112000000000002</v>
      </c>
      <c r="N669" s="1">
        <v>0</v>
      </c>
    </row>
    <row r="670" spans="1:14">
      <c r="A670" s="2">
        <v>45789</v>
      </c>
      <c r="B670" s="1">
        <v>1227</v>
      </c>
      <c r="C670" s="1">
        <v>90</v>
      </c>
      <c r="D670" s="1" t="s">
        <v>155</v>
      </c>
      <c r="E670" s="1" t="s">
        <v>40</v>
      </c>
      <c r="F670" s="1" t="s">
        <v>35</v>
      </c>
      <c r="G670" s="1">
        <v>37</v>
      </c>
      <c r="H670" s="1" t="s">
        <v>26</v>
      </c>
      <c r="I670" s="1" t="s">
        <v>27</v>
      </c>
      <c r="J670" s="1">
        <v>1</v>
      </c>
      <c r="K670" s="1">
        <v>52.67</v>
      </c>
      <c r="L670" s="1">
        <v>0</v>
      </c>
      <c r="M670" s="16">
        <f t="shared" si="10"/>
        <v>52.67</v>
      </c>
      <c r="N670" s="1">
        <v>0</v>
      </c>
    </row>
    <row r="671" spans="1:14">
      <c r="A671" s="2">
        <v>46018</v>
      </c>
      <c r="B671" s="1">
        <v>1339</v>
      </c>
      <c r="C671" s="1">
        <v>90</v>
      </c>
      <c r="D671" s="1" t="s">
        <v>155</v>
      </c>
      <c r="E671" s="1" t="s">
        <v>40</v>
      </c>
      <c r="F671" s="1" t="s">
        <v>35</v>
      </c>
      <c r="G671" s="1">
        <v>36</v>
      </c>
      <c r="H671" s="1" t="s">
        <v>62</v>
      </c>
      <c r="I671" s="1" t="s">
        <v>27</v>
      </c>
      <c r="J671" s="1">
        <v>1</v>
      </c>
      <c r="K671" s="1">
        <v>23.23</v>
      </c>
      <c r="L671" s="1">
        <v>0</v>
      </c>
      <c r="M671" s="16">
        <f t="shared" si="10"/>
        <v>23.23</v>
      </c>
      <c r="N671" s="1">
        <v>0</v>
      </c>
    </row>
    <row r="672" spans="1:14">
      <c r="A672" s="2">
        <v>46018</v>
      </c>
      <c r="B672" s="1">
        <v>1339</v>
      </c>
      <c r="C672" s="1">
        <v>90</v>
      </c>
      <c r="D672" s="1" t="s">
        <v>155</v>
      </c>
      <c r="E672" s="1" t="s">
        <v>40</v>
      </c>
      <c r="F672" s="1" t="s">
        <v>35</v>
      </c>
      <c r="G672" s="1">
        <v>37</v>
      </c>
      <c r="H672" s="1" t="s">
        <v>26</v>
      </c>
      <c r="I672" s="1" t="s">
        <v>27</v>
      </c>
      <c r="J672" s="1">
        <v>2</v>
      </c>
      <c r="K672" s="1">
        <v>52.67</v>
      </c>
      <c r="L672" s="1">
        <v>0</v>
      </c>
      <c r="M672" s="16">
        <f t="shared" si="10"/>
        <v>105.34</v>
      </c>
      <c r="N672" s="1">
        <v>0</v>
      </c>
    </row>
    <row r="673" spans="1:14">
      <c r="A673" s="2">
        <v>46016</v>
      </c>
      <c r="B673" s="1">
        <v>1339</v>
      </c>
      <c r="C673" s="1">
        <v>90</v>
      </c>
      <c r="D673" s="1" t="s">
        <v>155</v>
      </c>
      <c r="E673" s="1" t="s">
        <v>40</v>
      </c>
      <c r="F673" s="1" t="s">
        <v>35</v>
      </c>
      <c r="G673" s="1">
        <v>33</v>
      </c>
      <c r="H673" s="1" t="s">
        <v>42</v>
      </c>
      <c r="I673" s="1" t="s">
        <v>31</v>
      </c>
      <c r="J673" s="1">
        <v>2</v>
      </c>
      <c r="K673" s="1">
        <v>40.94</v>
      </c>
      <c r="L673" s="1">
        <v>0</v>
      </c>
      <c r="M673" s="16">
        <f t="shared" si="10"/>
        <v>81.88</v>
      </c>
      <c r="N673" s="1">
        <v>0</v>
      </c>
    </row>
    <row r="674" spans="1:14">
      <c r="A674" s="2">
        <v>46018</v>
      </c>
      <c r="B674" s="1">
        <v>1339</v>
      </c>
      <c r="C674" s="1">
        <v>90</v>
      </c>
      <c r="D674" s="1" t="s">
        <v>155</v>
      </c>
      <c r="E674" s="1" t="s">
        <v>40</v>
      </c>
      <c r="F674" s="1" t="s">
        <v>35</v>
      </c>
      <c r="G674" s="1">
        <v>30</v>
      </c>
      <c r="H674" s="1" t="s">
        <v>57</v>
      </c>
      <c r="I674" s="1" t="s">
        <v>31</v>
      </c>
      <c r="J674" s="1">
        <v>2</v>
      </c>
      <c r="K674" s="1">
        <v>41.49</v>
      </c>
      <c r="L674" s="1">
        <v>0</v>
      </c>
      <c r="M674" s="16">
        <f t="shared" si="10"/>
        <v>82.98</v>
      </c>
      <c r="N674" s="1">
        <v>0</v>
      </c>
    </row>
    <row r="675" spans="1:14">
      <c r="A675" s="2">
        <v>46037</v>
      </c>
      <c r="B675" s="1">
        <v>1405</v>
      </c>
      <c r="C675" s="1">
        <v>90</v>
      </c>
      <c r="D675" s="1" t="s">
        <v>155</v>
      </c>
      <c r="E675" s="1" t="s">
        <v>40</v>
      </c>
      <c r="F675" s="1" t="s">
        <v>35</v>
      </c>
      <c r="G675" s="1">
        <v>4</v>
      </c>
      <c r="H675" s="1" t="s">
        <v>92</v>
      </c>
      <c r="I675" s="1" t="s">
        <v>21</v>
      </c>
      <c r="J675" s="1">
        <v>2</v>
      </c>
      <c r="K675" s="1">
        <v>34.83</v>
      </c>
      <c r="L675" s="1">
        <v>0</v>
      </c>
      <c r="M675" s="16">
        <f t="shared" si="10"/>
        <v>69.66</v>
      </c>
      <c r="N675" s="1">
        <v>0</v>
      </c>
    </row>
    <row r="676" spans="1:14">
      <c r="A676" s="2">
        <v>45728</v>
      </c>
      <c r="B676" s="1">
        <v>1220</v>
      </c>
      <c r="C676" s="1">
        <v>91</v>
      </c>
      <c r="D676" s="1" t="s">
        <v>153</v>
      </c>
      <c r="E676" s="1" t="s">
        <v>68</v>
      </c>
      <c r="F676" s="1" t="s">
        <v>74</v>
      </c>
      <c r="G676" s="1">
        <v>13</v>
      </c>
      <c r="H676" s="1" t="s">
        <v>45</v>
      </c>
      <c r="I676" s="1" t="s">
        <v>33</v>
      </c>
      <c r="J676" s="1">
        <v>1</v>
      </c>
      <c r="K676" s="1">
        <v>54.9</v>
      </c>
      <c r="L676" s="1">
        <v>0</v>
      </c>
      <c r="M676" s="16">
        <f t="shared" si="10"/>
        <v>54.9</v>
      </c>
      <c r="N676" s="1">
        <v>0</v>
      </c>
    </row>
    <row r="677" spans="1:14">
      <c r="A677" s="2">
        <v>45728</v>
      </c>
      <c r="B677" s="1">
        <v>1044</v>
      </c>
      <c r="C677" s="1">
        <v>91</v>
      </c>
      <c r="D677" s="1" t="s">
        <v>153</v>
      </c>
      <c r="E677" s="1" t="s">
        <v>68</v>
      </c>
      <c r="F677" s="1" t="s">
        <v>74</v>
      </c>
      <c r="G677" s="1">
        <v>16</v>
      </c>
      <c r="H677" s="1" t="s">
        <v>77</v>
      </c>
      <c r="I677" s="1" t="s">
        <v>17</v>
      </c>
      <c r="J677" s="1">
        <v>3</v>
      </c>
      <c r="K677" s="1">
        <v>11.81</v>
      </c>
      <c r="L677" s="1">
        <v>0</v>
      </c>
      <c r="M677" s="16">
        <f t="shared" si="10"/>
        <v>35.43</v>
      </c>
      <c r="N677" s="1">
        <v>0</v>
      </c>
    </row>
    <row r="678" spans="1:14">
      <c r="A678" s="2">
        <v>46037</v>
      </c>
      <c r="B678" s="1">
        <v>1406</v>
      </c>
      <c r="C678" s="1">
        <v>91</v>
      </c>
      <c r="D678" s="1" t="s">
        <v>153</v>
      </c>
      <c r="E678" s="1" t="s">
        <v>68</v>
      </c>
      <c r="F678" s="1" t="s">
        <v>74</v>
      </c>
      <c r="G678" s="1">
        <v>6</v>
      </c>
      <c r="H678" s="1" t="s">
        <v>99</v>
      </c>
      <c r="I678" s="1" t="s">
        <v>21</v>
      </c>
      <c r="J678" s="1">
        <v>1</v>
      </c>
      <c r="K678" s="1">
        <v>70.47</v>
      </c>
      <c r="L678" s="1">
        <v>10</v>
      </c>
      <c r="M678" s="16">
        <f t="shared" si="10"/>
        <v>63.423000000000002</v>
      </c>
      <c r="N678" s="1">
        <v>0</v>
      </c>
    </row>
    <row r="679" spans="1:14">
      <c r="A679" s="2">
        <v>45985</v>
      </c>
      <c r="B679" s="1">
        <v>1172</v>
      </c>
      <c r="C679" s="1">
        <v>92</v>
      </c>
      <c r="D679" s="1" t="s">
        <v>144</v>
      </c>
      <c r="E679" s="1" t="s">
        <v>68</v>
      </c>
      <c r="F679" s="1" t="s">
        <v>35</v>
      </c>
      <c r="G679" s="1">
        <v>36</v>
      </c>
      <c r="H679" s="1" t="s">
        <v>62</v>
      </c>
      <c r="I679" s="1" t="s">
        <v>27</v>
      </c>
      <c r="J679" s="1">
        <v>1</v>
      </c>
      <c r="K679" s="1">
        <v>23.23</v>
      </c>
      <c r="L679" s="1">
        <v>0</v>
      </c>
      <c r="M679" s="16">
        <f t="shared" si="10"/>
        <v>23.23</v>
      </c>
      <c r="N679" s="1">
        <v>0</v>
      </c>
    </row>
    <row r="680" spans="1:14">
      <c r="A680" s="2">
        <v>45985</v>
      </c>
      <c r="B680" s="1">
        <v>1172</v>
      </c>
      <c r="C680" s="1">
        <v>92</v>
      </c>
      <c r="D680" s="1" t="s">
        <v>144</v>
      </c>
      <c r="E680" s="1" t="s">
        <v>68</v>
      </c>
      <c r="F680" s="1" t="s">
        <v>35</v>
      </c>
      <c r="G680" s="1">
        <v>24</v>
      </c>
      <c r="H680" s="1" t="s">
        <v>44</v>
      </c>
      <c r="I680" s="1" t="s">
        <v>37</v>
      </c>
      <c r="J680" s="1">
        <v>1</v>
      </c>
      <c r="K680" s="1">
        <v>43.42</v>
      </c>
      <c r="L680" s="1">
        <v>0</v>
      </c>
      <c r="M680" s="16">
        <f t="shared" si="10"/>
        <v>43.42</v>
      </c>
      <c r="N680" s="1">
        <v>0</v>
      </c>
    </row>
    <row r="681" spans="1:14">
      <c r="A681" s="2">
        <v>45881</v>
      </c>
      <c r="B681" s="1">
        <v>1241</v>
      </c>
      <c r="C681" s="1">
        <v>92</v>
      </c>
      <c r="D681" s="1" t="s">
        <v>144</v>
      </c>
      <c r="E681" s="1" t="s">
        <v>68</v>
      </c>
      <c r="F681" s="1" t="s">
        <v>35</v>
      </c>
      <c r="G681" s="1">
        <v>11</v>
      </c>
      <c r="H681" s="1" t="s">
        <v>65</v>
      </c>
      <c r="I681" s="1" t="s">
        <v>33</v>
      </c>
      <c r="J681" s="1">
        <v>1</v>
      </c>
      <c r="K681" s="1">
        <v>58.35</v>
      </c>
      <c r="L681" s="1">
        <v>0</v>
      </c>
      <c r="M681" s="16">
        <f t="shared" si="10"/>
        <v>58.35</v>
      </c>
      <c r="N681" s="1">
        <v>1</v>
      </c>
    </row>
    <row r="682" spans="1:14">
      <c r="A682" s="2">
        <v>46016</v>
      </c>
      <c r="B682" s="1">
        <v>1344</v>
      </c>
      <c r="C682" s="1">
        <v>93</v>
      </c>
      <c r="D682" s="1" t="s">
        <v>171</v>
      </c>
      <c r="E682" s="1" t="s">
        <v>29</v>
      </c>
      <c r="F682" s="1" t="s">
        <v>41</v>
      </c>
      <c r="G682" s="1">
        <v>21</v>
      </c>
      <c r="H682" s="1" t="s">
        <v>97</v>
      </c>
      <c r="I682" s="1" t="s">
        <v>17</v>
      </c>
      <c r="J682" s="1">
        <v>3</v>
      </c>
      <c r="K682" s="1">
        <v>49.37</v>
      </c>
      <c r="L682" s="1">
        <v>20</v>
      </c>
      <c r="M682" s="16">
        <f t="shared" si="10"/>
        <v>118.488</v>
      </c>
      <c r="N682" s="1">
        <v>0</v>
      </c>
    </row>
    <row r="683" spans="1:14">
      <c r="A683" s="2">
        <v>46019</v>
      </c>
      <c r="B683" s="1">
        <v>1344</v>
      </c>
      <c r="C683" s="1">
        <v>93</v>
      </c>
      <c r="D683" s="1" t="s">
        <v>171</v>
      </c>
      <c r="E683" s="1" t="s">
        <v>29</v>
      </c>
      <c r="F683" s="1" t="s">
        <v>41</v>
      </c>
      <c r="G683" s="1">
        <v>25</v>
      </c>
      <c r="H683" s="1" t="s">
        <v>214</v>
      </c>
      <c r="I683" s="1" t="s">
        <v>37</v>
      </c>
      <c r="J683" s="1">
        <v>1</v>
      </c>
      <c r="K683" s="1">
        <v>17.78</v>
      </c>
      <c r="L683" s="1">
        <v>15</v>
      </c>
      <c r="M683" s="16">
        <f t="shared" si="10"/>
        <v>15.113000000000001</v>
      </c>
      <c r="N683" s="1">
        <v>0</v>
      </c>
    </row>
    <row r="684" spans="1:14">
      <c r="A684" s="2">
        <v>45983</v>
      </c>
      <c r="B684" s="1">
        <v>1164</v>
      </c>
      <c r="C684" s="1">
        <v>94</v>
      </c>
      <c r="D684" s="1" t="s">
        <v>142</v>
      </c>
      <c r="E684" s="1" t="s">
        <v>29</v>
      </c>
      <c r="F684" s="1" t="s">
        <v>41</v>
      </c>
      <c r="G684" s="1">
        <v>5</v>
      </c>
      <c r="H684" s="1" t="s">
        <v>38</v>
      </c>
      <c r="I684" s="1" t="s">
        <v>21</v>
      </c>
      <c r="J684" s="1">
        <v>1</v>
      </c>
      <c r="K684" s="1">
        <v>42.53</v>
      </c>
      <c r="L684" s="1">
        <v>0</v>
      </c>
      <c r="M684" s="16">
        <f t="shared" si="10"/>
        <v>42.53</v>
      </c>
      <c r="N684" s="1">
        <v>0</v>
      </c>
    </row>
    <row r="685" spans="1:14">
      <c r="A685" s="2">
        <v>45950</v>
      </c>
      <c r="B685" s="1">
        <v>1036</v>
      </c>
      <c r="C685" s="1">
        <v>96</v>
      </c>
      <c r="D685" s="1" t="s">
        <v>88</v>
      </c>
      <c r="E685" s="1" t="s">
        <v>40</v>
      </c>
      <c r="F685" s="1" t="s">
        <v>19</v>
      </c>
      <c r="G685" s="1">
        <v>17</v>
      </c>
      <c r="H685" s="1" t="s">
        <v>60</v>
      </c>
      <c r="I685" s="1" t="s">
        <v>17</v>
      </c>
      <c r="J685" s="1">
        <v>1</v>
      </c>
      <c r="K685" s="1">
        <v>6.61</v>
      </c>
      <c r="L685" s="1">
        <v>0</v>
      </c>
      <c r="M685" s="16">
        <f t="shared" si="10"/>
        <v>6.61</v>
      </c>
      <c r="N685" s="1">
        <v>0</v>
      </c>
    </row>
    <row r="686" spans="1:14">
      <c r="A686" s="2">
        <v>45950</v>
      </c>
      <c r="B686" s="1">
        <v>1036</v>
      </c>
      <c r="C686" s="1">
        <v>96</v>
      </c>
      <c r="D686" s="1" t="s">
        <v>88</v>
      </c>
      <c r="E686" s="1" t="s">
        <v>40</v>
      </c>
      <c r="F686" s="1" t="s">
        <v>19</v>
      </c>
      <c r="G686" s="1">
        <f>_xlfn.XLOOKUP(H686,'Product Data'!$B$2:$B$100,'Product Data'!$A$2:$A$100,"Not Found")</f>
        <v>38</v>
      </c>
      <c r="H686" s="1" t="s">
        <v>70</v>
      </c>
      <c r="I686" s="14" t="str">
        <f>_xlfn.XLOOKUP(H686,'Product Data'!$B$2:$B$100,'Product Data'!$C$2:$C$100,"Not Found")</f>
        <v>Toys</v>
      </c>
      <c r="J686" s="1">
        <v>1</v>
      </c>
      <c r="K686" s="1">
        <v>25.14</v>
      </c>
      <c r="L686" s="1">
        <v>0</v>
      </c>
      <c r="M686" s="16">
        <f t="shared" si="10"/>
        <v>25.14</v>
      </c>
      <c r="N686" s="1">
        <v>0</v>
      </c>
    </row>
    <row r="687" spans="1:14">
      <c r="A687" s="2">
        <v>45950</v>
      </c>
      <c r="B687" s="1">
        <v>1036</v>
      </c>
      <c r="C687" s="1">
        <v>96</v>
      </c>
      <c r="D687" s="1" t="s">
        <v>88</v>
      </c>
      <c r="E687" s="1" t="s">
        <v>40</v>
      </c>
      <c r="F687" s="1" t="s">
        <v>19</v>
      </c>
      <c r="G687" s="1">
        <v>27</v>
      </c>
      <c r="H687" s="1" t="s">
        <v>89</v>
      </c>
      <c r="I687" s="1" t="s">
        <v>37</v>
      </c>
      <c r="J687" s="1">
        <v>1</v>
      </c>
      <c r="K687" s="1">
        <v>27.3</v>
      </c>
      <c r="L687" s="1">
        <v>0</v>
      </c>
      <c r="M687" s="16">
        <f t="shared" si="10"/>
        <v>27.3</v>
      </c>
      <c r="N687" s="1">
        <v>0</v>
      </c>
    </row>
    <row r="688" spans="1:14">
      <c r="A688" s="2">
        <v>45950</v>
      </c>
      <c r="B688" s="1">
        <v>1036</v>
      </c>
      <c r="C688" s="1">
        <v>96</v>
      </c>
      <c r="D688" s="1" t="s">
        <v>88</v>
      </c>
      <c r="E688" s="1" t="s">
        <v>40</v>
      </c>
      <c r="F688" s="1" t="s">
        <v>19</v>
      </c>
      <c r="G688" s="1">
        <v>33</v>
      </c>
      <c r="H688" s="1" t="s">
        <v>42</v>
      </c>
      <c r="I688" s="1" t="s">
        <v>31</v>
      </c>
      <c r="J688" s="1">
        <v>3</v>
      </c>
      <c r="K688" s="1">
        <v>40.94</v>
      </c>
      <c r="L688" s="1">
        <v>0</v>
      </c>
      <c r="M688" s="16">
        <f t="shared" si="10"/>
        <v>122.82</v>
      </c>
      <c r="N688" s="1">
        <v>0</v>
      </c>
    </row>
    <row r="689" spans="1:14">
      <c r="A689" s="2">
        <v>46114</v>
      </c>
      <c r="B689" s="1">
        <v>1454</v>
      </c>
      <c r="C689" s="1">
        <v>96</v>
      </c>
      <c r="D689" s="1" t="s">
        <v>88</v>
      </c>
      <c r="E689" s="1" t="s">
        <v>40</v>
      </c>
      <c r="F689" s="1" t="s">
        <v>19</v>
      </c>
      <c r="G689" s="1">
        <v>1</v>
      </c>
      <c r="H689" s="1" t="s">
        <v>20</v>
      </c>
      <c r="I689" s="1" t="s">
        <v>21</v>
      </c>
      <c r="J689" s="1">
        <v>1</v>
      </c>
      <c r="K689" s="1">
        <v>47.45</v>
      </c>
      <c r="L689" s="1">
        <v>0</v>
      </c>
      <c r="M689" s="16">
        <f t="shared" si="10"/>
        <v>47.45</v>
      </c>
      <c r="N689" s="1">
        <v>0</v>
      </c>
    </row>
    <row r="690" spans="1:14">
      <c r="A690" s="2">
        <v>46114</v>
      </c>
      <c r="B690" s="1">
        <v>1454</v>
      </c>
      <c r="C690" s="1">
        <v>96</v>
      </c>
      <c r="D690" s="1" t="s">
        <v>88</v>
      </c>
      <c r="E690" s="1" t="s">
        <v>40</v>
      </c>
      <c r="F690" s="1" t="s">
        <v>19</v>
      </c>
      <c r="G690" s="1">
        <v>15</v>
      </c>
      <c r="H690" s="1" t="s">
        <v>48</v>
      </c>
      <c r="I690" s="1" t="s">
        <v>33</v>
      </c>
      <c r="J690" s="1">
        <v>1</v>
      </c>
      <c r="K690" s="1">
        <v>47.71</v>
      </c>
      <c r="L690" s="1">
        <v>0</v>
      </c>
      <c r="M690" s="16">
        <f t="shared" si="10"/>
        <v>47.71</v>
      </c>
      <c r="N690" s="1">
        <v>0</v>
      </c>
    </row>
    <row r="691" spans="1:14">
      <c r="A691" s="2">
        <v>45949</v>
      </c>
      <c r="B691" s="1">
        <v>1030</v>
      </c>
      <c r="C691" s="1">
        <v>97</v>
      </c>
      <c r="D691" s="1" t="s">
        <v>81</v>
      </c>
      <c r="E691" s="1" t="s">
        <v>29</v>
      </c>
      <c r="F691" s="1" t="s">
        <v>35</v>
      </c>
      <c r="G691" s="1">
        <v>39</v>
      </c>
      <c r="H691" s="1" t="s">
        <v>36</v>
      </c>
      <c r="I691" s="1" t="s">
        <v>27</v>
      </c>
      <c r="J691" s="1">
        <v>1</v>
      </c>
      <c r="K691" s="1">
        <v>39.979999999999997</v>
      </c>
      <c r="L691" s="1">
        <v>20</v>
      </c>
      <c r="M691" s="16">
        <f t="shared" si="10"/>
        <v>31.983999999999998</v>
      </c>
      <c r="N691" s="1">
        <v>0</v>
      </c>
    </row>
    <row r="692" spans="1:14">
      <c r="A692" s="2">
        <v>45668</v>
      </c>
      <c r="B692" s="1">
        <v>1069</v>
      </c>
      <c r="C692" s="1">
        <v>97</v>
      </c>
      <c r="D692" s="1" t="s">
        <v>81</v>
      </c>
      <c r="E692" s="1" t="s">
        <v>29</v>
      </c>
      <c r="F692" s="1" t="s">
        <v>19</v>
      </c>
      <c r="G692" s="1">
        <v>31</v>
      </c>
      <c r="H692" s="1" t="s">
        <v>30</v>
      </c>
      <c r="I692" s="1" t="s">
        <v>31</v>
      </c>
      <c r="J692" s="1">
        <v>1</v>
      </c>
      <c r="K692" s="1">
        <v>57.51</v>
      </c>
      <c r="L692" s="1">
        <v>0</v>
      </c>
      <c r="M692" s="16">
        <f t="shared" si="10"/>
        <v>57.51</v>
      </c>
      <c r="N692" s="1">
        <v>0</v>
      </c>
    </row>
    <row r="693" spans="1:14">
      <c r="A693" s="2">
        <v>45987</v>
      </c>
      <c r="B693" s="1">
        <v>1182</v>
      </c>
      <c r="C693" s="1">
        <v>97</v>
      </c>
      <c r="D693" s="1" t="s">
        <v>81</v>
      </c>
      <c r="E693" s="1" t="s">
        <v>29</v>
      </c>
      <c r="F693" s="1" t="s">
        <v>19</v>
      </c>
      <c r="G693" s="1">
        <v>15</v>
      </c>
      <c r="H693" s="1" t="s">
        <v>48</v>
      </c>
      <c r="I693" s="1" t="s">
        <v>33</v>
      </c>
      <c r="J693" s="1">
        <v>2</v>
      </c>
      <c r="K693" s="1">
        <v>47.71</v>
      </c>
      <c r="L693" s="1">
        <v>0</v>
      </c>
      <c r="M693" s="16">
        <f t="shared" si="10"/>
        <v>95.42</v>
      </c>
      <c r="N693" s="1">
        <v>0</v>
      </c>
    </row>
    <row r="694" spans="1:14">
      <c r="A694" s="2">
        <v>46020</v>
      </c>
      <c r="B694" s="1">
        <v>1356</v>
      </c>
      <c r="C694" s="1">
        <v>97</v>
      </c>
      <c r="D694" s="1" t="s">
        <v>81</v>
      </c>
      <c r="E694" s="1" t="s">
        <v>29</v>
      </c>
      <c r="F694" s="1" t="s">
        <v>19</v>
      </c>
      <c r="G694" s="1">
        <v>24</v>
      </c>
      <c r="H694" s="1" t="s">
        <v>44</v>
      </c>
      <c r="I694" s="1" t="s">
        <v>37</v>
      </c>
      <c r="J694" s="1">
        <v>1</v>
      </c>
      <c r="K694" s="1">
        <v>43.42</v>
      </c>
      <c r="L694" s="1">
        <v>0</v>
      </c>
      <c r="M694" s="16">
        <f t="shared" si="10"/>
        <v>43.42</v>
      </c>
      <c r="N694" s="1">
        <v>0</v>
      </c>
    </row>
    <row r="695" spans="1:14">
      <c r="A695" s="2">
        <v>46053</v>
      </c>
      <c r="B695" s="1">
        <v>1443</v>
      </c>
      <c r="C695" s="1">
        <v>97</v>
      </c>
      <c r="D695" s="1" t="s">
        <v>81</v>
      </c>
      <c r="E695" s="1" t="s">
        <v>29</v>
      </c>
      <c r="F695" s="1" t="s">
        <v>19</v>
      </c>
      <c r="G695" s="1">
        <v>31</v>
      </c>
      <c r="H695" s="1" t="s">
        <v>30</v>
      </c>
      <c r="I695" s="1" t="s">
        <v>31</v>
      </c>
      <c r="J695" s="1">
        <v>2</v>
      </c>
      <c r="K695" s="1">
        <v>57.51</v>
      </c>
      <c r="L695" s="1">
        <v>0</v>
      </c>
      <c r="M695" s="16">
        <f t="shared" si="10"/>
        <v>115.02</v>
      </c>
      <c r="N695" s="1">
        <v>1</v>
      </c>
    </row>
    <row r="696" spans="1:14">
      <c r="A696" s="2">
        <v>46053</v>
      </c>
      <c r="B696" s="1">
        <v>1443</v>
      </c>
      <c r="C696" s="1">
        <v>97</v>
      </c>
      <c r="D696" s="1" t="s">
        <v>81</v>
      </c>
      <c r="E696" s="1" t="s">
        <v>29</v>
      </c>
      <c r="F696" s="1" t="s">
        <v>19</v>
      </c>
      <c r="G696" s="1">
        <v>30</v>
      </c>
      <c r="H696" s="1" t="s">
        <v>57</v>
      </c>
      <c r="I696" s="1" t="s">
        <v>31</v>
      </c>
      <c r="J696" s="1">
        <v>1</v>
      </c>
      <c r="K696" s="1">
        <v>41.49</v>
      </c>
      <c r="L696" s="1">
        <v>0</v>
      </c>
      <c r="M696" s="16">
        <f t="shared" si="10"/>
        <v>41.49</v>
      </c>
      <c r="N696" s="1">
        <v>0</v>
      </c>
    </row>
    <row r="697" spans="1:14">
      <c r="A697" s="2">
        <v>45947</v>
      </c>
      <c r="B697" s="1">
        <v>1019</v>
      </c>
      <c r="C697" s="1">
        <v>98</v>
      </c>
      <c r="D697" s="1" t="s">
        <v>61</v>
      </c>
      <c r="E697" s="1" t="s">
        <v>25</v>
      </c>
      <c r="F697" s="1" t="s">
        <v>35</v>
      </c>
      <c r="G697" s="1">
        <v>30</v>
      </c>
      <c r="H697" s="1" t="s">
        <v>57</v>
      </c>
      <c r="I697" s="1" t="s">
        <v>31</v>
      </c>
      <c r="J697" s="1">
        <v>1</v>
      </c>
      <c r="K697" s="1">
        <v>41.49</v>
      </c>
      <c r="L697" s="1">
        <v>10</v>
      </c>
      <c r="M697" s="16">
        <f t="shared" si="10"/>
        <v>37.341000000000001</v>
      </c>
      <c r="N697" s="1">
        <v>0</v>
      </c>
    </row>
    <row r="698" spans="1:14">
      <c r="A698" s="2">
        <v>45947</v>
      </c>
      <c r="B698" s="1">
        <v>1019</v>
      </c>
      <c r="C698" s="1">
        <v>98</v>
      </c>
      <c r="D698" s="1" t="s">
        <v>61</v>
      </c>
      <c r="E698" s="1" t="s">
        <v>25</v>
      </c>
      <c r="F698" s="1" t="s">
        <v>35</v>
      </c>
      <c r="G698" s="1">
        <v>39</v>
      </c>
      <c r="H698" s="1" t="s">
        <v>36</v>
      </c>
      <c r="I698" s="1" t="s">
        <v>27</v>
      </c>
      <c r="J698" s="1">
        <v>2</v>
      </c>
      <c r="K698" s="1">
        <v>39.979999999999997</v>
      </c>
      <c r="L698" s="1">
        <v>0</v>
      </c>
      <c r="M698" s="16">
        <f t="shared" si="10"/>
        <v>79.959999999999994</v>
      </c>
      <c r="N698" s="1">
        <v>0</v>
      </c>
    </row>
    <row r="699" spans="1:14">
      <c r="A699" s="2">
        <v>46016</v>
      </c>
      <c r="B699" s="1">
        <v>1044</v>
      </c>
      <c r="C699" s="1">
        <v>98</v>
      </c>
      <c r="D699" s="1" t="s">
        <v>61</v>
      </c>
      <c r="E699" s="1" t="s">
        <v>25</v>
      </c>
      <c r="F699" s="1" t="s">
        <v>35</v>
      </c>
      <c r="G699" s="1">
        <v>18</v>
      </c>
      <c r="H699" s="1" t="s">
        <v>23</v>
      </c>
      <c r="I699" s="1" t="s">
        <v>17</v>
      </c>
      <c r="J699" s="1">
        <v>2</v>
      </c>
      <c r="K699" s="1">
        <v>44.01</v>
      </c>
      <c r="L699" s="1">
        <v>10</v>
      </c>
      <c r="M699" s="16">
        <f t="shared" si="10"/>
        <v>79.218000000000004</v>
      </c>
      <c r="N699" s="1">
        <v>0</v>
      </c>
    </row>
    <row r="700" spans="1:14">
      <c r="A700" s="2">
        <v>45849</v>
      </c>
      <c r="B700" s="1">
        <v>1089</v>
      </c>
      <c r="C700" s="1">
        <v>98</v>
      </c>
      <c r="D700" s="1" t="s">
        <v>61</v>
      </c>
      <c r="E700" s="1" t="s">
        <v>25</v>
      </c>
      <c r="F700" s="1" t="s">
        <v>35</v>
      </c>
      <c r="G700" s="1">
        <v>31</v>
      </c>
      <c r="H700" s="1" t="s">
        <v>30</v>
      </c>
      <c r="I700" s="1" t="s">
        <v>31</v>
      </c>
      <c r="J700" s="1">
        <v>1</v>
      </c>
      <c r="K700" s="1">
        <v>57.51</v>
      </c>
      <c r="L700" s="1">
        <v>10</v>
      </c>
      <c r="M700" s="16">
        <f t="shared" si="10"/>
        <v>51.759</v>
      </c>
      <c r="N700" s="1">
        <v>0</v>
      </c>
    </row>
    <row r="701" spans="1:14">
      <c r="A701" s="2">
        <v>45849</v>
      </c>
      <c r="B701" s="1">
        <v>1089</v>
      </c>
      <c r="C701" s="1">
        <v>98</v>
      </c>
      <c r="D701" s="1" t="s">
        <v>61</v>
      </c>
      <c r="E701" s="1" t="s">
        <v>25</v>
      </c>
      <c r="F701" s="1" t="s">
        <v>35</v>
      </c>
      <c r="G701" s="1">
        <v>20</v>
      </c>
      <c r="H701" s="1" t="s">
        <v>16</v>
      </c>
      <c r="I701" s="1" t="s">
        <v>17</v>
      </c>
      <c r="J701" s="1">
        <v>1</v>
      </c>
      <c r="K701" s="1">
        <v>32.76</v>
      </c>
      <c r="L701" s="1">
        <v>0</v>
      </c>
      <c r="M701" s="16">
        <f t="shared" si="10"/>
        <v>32.76</v>
      </c>
      <c r="N701" s="1">
        <v>0</v>
      </c>
    </row>
    <row r="702" spans="1:14">
      <c r="A702" s="2">
        <v>45911</v>
      </c>
      <c r="B702" s="1">
        <v>1100</v>
      </c>
      <c r="C702" s="1">
        <v>98</v>
      </c>
      <c r="D702" s="1" t="s">
        <v>61</v>
      </c>
      <c r="E702" s="1" t="s">
        <v>25</v>
      </c>
      <c r="F702" s="1" t="s">
        <v>35</v>
      </c>
      <c r="G702" s="1">
        <v>4</v>
      </c>
      <c r="H702" s="1" t="s">
        <v>92</v>
      </c>
      <c r="I702" s="1" t="s">
        <v>21</v>
      </c>
      <c r="J702" s="1">
        <v>1</v>
      </c>
      <c r="K702" s="1">
        <v>34.83</v>
      </c>
      <c r="L702" s="1">
        <v>0</v>
      </c>
      <c r="M702" s="16">
        <f t="shared" si="10"/>
        <v>34.83</v>
      </c>
      <c r="N702" s="1">
        <v>0</v>
      </c>
    </row>
    <row r="703" spans="1:14">
      <c r="A703" s="2">
        <v>45911</v>
      </c>
      <c r="B703" s="1">
        <v>1100</v>
      </c>
      <c r="C703" s="1">
        <v>98</v>
      </c>
      <c r="D703" s="1" t="s">
        <v>61</v>
      </c>
      <c r="E703" s="1" t="s">
        <v>25</v>
      </c>
      <c r="F703" s="1" t="s">
        <v>35</v>
      </c>
      <c r="G703" s="1">
        <v>31</v>
      </c>
      <c r="H703" s="1" t="s">
        <v>30</v>
      </c>
      <c r="I703" s="1" t="s">
        <v>31</v>
      </c>
      <c r="J703" s="1">
        <v>1</v>
      </c>
      <c r="K703" s="1">
        <v>57.51</v>
      </c>
      <c r="L703" s="1">
        <v>5</v>
      </c>
      <c r="M703" s="16">
        <f t="shared" si="10"/>
        <v>54.634499999999996</v>
      </c>
      <c r="N703" s="1">
        <v>0</v>
      </c>
    </row>
    <row r="704" spans="1:14">
      <c r="A704" s="2">
        <v>45911</v>
      </c>
      <c r="B704" s="1">
        <v>1100</v>
      </c>
      <c r="C704" s="1">
        <v>98</v>
      </c>
      <c r="D704" s="1" t="s">
        <v>61</v>
      </c>
      <c r="E704" s="1" t="s">
        <v>25</v>
      </c>
      <c r="F704" s="1" t="s">
        <v>35</v>
      </c>
      <c r="G704" s="1">
        <v>16</v>
      </c>
      <c r="H704" s="1" t="s">
        <v>77</v>
      </c>
      <c r="I704" s="1" t="s">
        <v>17</v>
      </c>
      <c r="J704" s="1">
        <v>2</v>
      </c>
      <c r="K704" s="1">
        <v>11.81</v>
      </c>
      <c r="L704" s="1">
        <v>5</v>
      </c>
      <c r="M704" s="16">
        <f t="shared" si="10"/>
        <v>22.439</v>
      </c>
      <c r="N704" s="1">
        <v>0</v>
      </c>
    </row>
    <row r="705" spans="1:14">
      <c r="A705" s="2">
        <v>45911</v>
      </c>
      <c r="B705" s="1">
        <v>1100</v>
      </c>
      <c r="C705" s="1">
        <v>98</v>
      </c>
      <c r="D705" s="1" t="s">
        <v>61</v>
      </c>
      <c r="E705" s="1" t="s">
        <v>25</v>
      </c>
      <c r="F705" s="1" t="s">
        <v>35</v>
      </c>
      <c r="G705" s="1">
        <v>30</v>
      </c>
      <c r="H705" s="1" t="s">
        <v>57</v>
      </c>
      <c r="I705" s="1" t="s">
        <v>31</v>
      </c>
      <c r="J705" s="1">
        <v>1</v>
      </c>
      <c r="K705" s="1">
        <v>41.49</v>
      </c>
      <c r="L705" s="1">
        <v>0</v>
      </c>
      <c r="M705" s="16">
        <f t="shared" si="10"/>
        <v>41.49</v>
      </c>
      <c r="N705" s="1">
        <v>0</v>
      </c>
    </row>
    <row r="706" spans="1:14">
      <c r="A706" s="2">
        <v>45972</v>
      </c>
      <c r="B706" s="1">
        <v>1114</v>
      </c>
      <c r="C706" s="1">
        <v>98</v>
      </c>
      <c r="D706" s="1" t="s">
        <v>61</v>
      </c>
      <c r="E706" s="1" t="s">
        <v>25</v>
      </c>
      <c r="F706" s="1" t="s">
        <v>35</v>
      </c>
      <c r="G706" s="1">
        <v>21</v>
      </c>
      <c r="H706" s="1" t="s">
        <v>97</v>
      </c>
      <c r="I706" s="1" t="s">
        <v>17</v>
      </c>
      <c r="J706" s="1">
        <v>2</v>
      </c>
      <c r="K706" s="1">
        <v>49.37</v>
      </c>
      <c r="L706" s="1">
        <v>20</v>
      </c>
      <c r="M706" s="16">
        <f t="shared" si="10"/>
        <v>78.992000000000004</v>
      </c>
      <c r="N706" s="1">
        <v>0</v>
      </c>
    </row>
    <row r="707" spans="1:14">
      <c r="A707" s="2">
        <v>45975</v>
      </c>
      <c r="B707" s="1">
        <v>1128</v>
      </c>
      <c r="C707" s="1">
        <v>98</v>
      </c>
      <c r="D707" s="1" t="s">
        <v>61</v>
      </c>
      <c r="E707" s="1" t="s">
        <v>25</v>
      </c>
      <c r="F707" s="1" t="s">
        <v>35</v>
      </c>
      <c r="G707" s="1">
        <v>21</v>
      </c>
      <c r="H707" s="1" t="s">
        <v>97</v>
      </c>
      <c r="I707" s="1" t="s">
        <v>17</v>
      </c>
      <c r="J707" s="1">
        <v>2</v>
      </c>
      <c r="K707" s="1">
        <v>49.37</v>
      </c>
      <c r="L707" s="1">
        <v>0</v>
      </c>
      <c r="M707" s="16">
        <f t="shared" ref="M707:M770" si="11">J707*K707*(1-L707/100)</f>
        <v>98.74</v>
      </c>
      <c r="N707" s="1">
        <v>0</v>
      </c>
    </row>
    <row r="708" spans="1:14">
      <c r="A708" s="2">
        <v>45975</v>
      </c>
      <c r="B708" s="1">
        <v>1128</v>
      </c>
      <c r="C708" s="1">
        <v>98</v>
      </c>
      <c r="D708" s="1" t="s">
        <v>61</v>
      </c>
      <c r="E708" s="1" t="s">
        <v>25</v>
      </c>
      <c r="F708" s="1" t="s">
        <v>35</v>
      </c>
      <c r="G708" s="1">
        <v>14</v>
      </c>
      <c r="H708" s="1" t="s">
        <v>105</v>
      </c>
      <c r="I708" s="1" t="s">
        <v>33</v>
      </c>
      <c r="J708" s="1">
        <v>1</v>
      </c>
      <c r="K708" s="1">
        <v>15.36</v>
      </c>
      <c r="L708" s="1">
        <v>0</v>
      </c>
      <c r="M708" s="16">
        <f t="shared" si="11"/>
        <v>15.36</v>
      </c>
      <c r="N708" s="1">
        <v>0</v>
      </c>
    </row>
    <row r="709" spans="1:14">
      <c r="A709" s="2">
        <v>46014</v>
      </c>
      <c r="B709" s="1">
        <v>1315</v>
      </c>
      <c r="C709" s="1">
        <v>98</v>
      </c>
      <c r="D709" s="1" t="s">
        <v>61</v>
      </c>
      <c r="E709" s="1" t="s">
        <v>25</v>
      </c>
      <c r="F709" s="1" t="s">
        <v>35</v>
      </c>
      <c r="G709" s="1">
        <v>33</v>
      </c>
      <c r="H709" s="1" t="s">
        <v>42</v>
      </c>
      <c r="I709" s="1" t="s">
        <v>31</v>
      </c>
      <c r="J709" s="1">
        <v>3</v>
      </c>
      <c r="K709" s="1">
        <v>40.94</v>
      </c>
      <c r="L709" s="1">
        <v>5</v>
      </c>
      <c r="M709" s="16">
        <f t="shared" si="11"/>
        <v>116.67899999999999</v>
      </c>
      <c r="N709" s="1">
        <v>0</v>
      </c>
    </row>
    <row r="710" spans="1:14">
      <c r="A710" s="2">
        <v>46015</v>
      </c>
      <c r="B710" s="1">
        <v>1320</v>
      </c>
      <c r="C710" s="1">
        <v>98</v>
      </c>
      <c r="D710" s="1" t="s">
        <v>61</v>
      </c>
      <c r="E710" s="1" t="s">
        <v>25</v>
      </c>
      <c r="F710" s="1" t="s">
        <v>35</v>
      </c>
      <c r="G710" s="1">
        <v>27</v>
      </c>
      <c r="H710" s="1" t="s">
        <v>89</v>
      </c>
      <c r="I710" s="1" t="s">
        <v>37</v>
      </c>
      <c r="J710" s="1">
        <v>1</v>
      </c>
      <c r="K710" s="1">
        <v>27.3</v>
      </c>
      <c r="L710" s="1">
        <v>10</v>
      </c>
      <c r="M710" s="16">
        <f t="shared" si="11"/>
        <v>24.57</v>
      </c>
      <c r="N710" s="1">
        <v>0</v>
      </c>
    </row>
    <row r="711" spans="1:14">
      <c r="A711" s="2">
        <v>46021</v>
      </c>
      <c r="B711" s="1">
        <v>1359</v>
      </c>
      <c r="C711" s="1">
        <v>98</v>
      </c>
      <c r="D711" s="1" t="s">
        <v>61</v>
      </c>
      <c r="E711" s="1" t="s">
        <v>25</v>
      </c>
      <c r="F711" s="1" t="s">
        <v>35</v>
      </c>
      <c r="G711" s="1">
        <v>9</v>
      </c>
      <c r="H711" s="1" t="s">
        <v>69</v>
      </c>
      <c r="I711" s="1" t="s">
        <v>33</v>
      </c>
      <c r="J711" s="1">
        <v>1</v>
      </c>
      <c r="K711" s="1">
        <v>20.69</v>
      </c>
      <c r="L711" s="1">
        <v>5</v>
      </c>
      <c r="M711" s="16">
        <f t="shared" si="11"/>
        <v>19.6555</v>
      </c>
      <c r="N711" s="1">
        <v>1</v>
      </c>
    </row>
    <row r="712" spans="1:14">
      <c r="A712" s="2">
        <v>46174</v>
      </c>
      <c r="B712" s="1">
        <v>1374</v>
      </c>
      <c r="C712" s="1">
        <v>98</v>
      </c>
      <c r="D712" s="1" t="s">
        <v>61</v>
      </c>
      <c r="E712" s="1" t="s">
        <v>25</v>
      </c>
      <c r="F712" s="1" t="s">
        <v>35</v>
      </c>
      <c r="G712" s="1">
        <v>32</v>
      </c>
      <c r="H712" s="1" t="s">
        <v>103</v>
      </c>
      <c r="I712" s="1" t="s">
        <v>31</v>
      </c>
      <c r="J712" s="1">
        <v>1</v>
      </c>
      <c r="K712" s="1">
        <v>61.06</v>
      </c>
      <c r="L712" s="1">
        <v>10</v>
      </c>
      <c r="M712" s="16">
        <f t="shared" si="11"/>
        <v>54.954000000000001</v>
      </c>
      <c r="N712" s="1">
        <v>0</v>
      </c>
    </row>
    <row r="713" spans="1:14">
      <c r="A713" s="2">
        <v>46041</v>
      </c>
      <c r="B713" s="1">
        <v>1418</v>
      </c>
      <c r="C713" s="1">
        <v>98</v>
      </c>
      <c r="D713" s="1" t="s">
        <v>61</v>
      </c>
      <c r="E713" s="1" t="s">
        <v>25</v>
      </c>
      <c r="F713" s="1" t="s">
        <v>35</v>
      </c>
      <c r="G713" s="1">
        <v>9</v>
      </c>
      <c r="H713" s="1" t="s">
        <v>69</v>
      </c>
      <c r="I713" s="1" t="s">
        <v>33</v>
      </c>
      <c r="J713" s="1">
        <v>1</v>
      </c>
      <c r="K713" s="1">
        <v>20.69</v>
      </c>
      <c r="L713" s="1">
        <v>25</v>
      </c>
      <c r="M713" s="16">
        <f t="shared" si="11"/>
        <v>15.517500000000002</v>
      </c>
      <c r="N713" s="1">
        <v>0</v>
      </c>
    </row>
    <row r="714" spans="1:14">
      <c r="A714" s="2">
        <v>46052</v>
      </c>
      <c r="B714" s="1">
        <v>1441</v>
      </c>
      <c r="C714" s="1">
        <v>98</v>
      </c>
      <c r="D714" s="1" t="s">
        <v>61</v>
      </c>
      <c r="E714" s="1" t="s">
        <v>25</v>
      </c>
      <c r="F714" s="1" t="s">
        <v>35</v>
      </c>
      <c r="G714" s="1">
        <v>39</v>
      </c>
      <c r="H714" s="1" t="s">
        <v>36</v>
      </c>
      <c r="I714" s="1" t="s">
        <v>27</v>
      </c>
      <c r="J714" s="1">
        <v>1</v>
      </c>
      <c r="K714" s="1">
        <v>39.979999999999997</v>
      </c>
      <c r="L714" s="1">
        <v>0</v>
      </c>
      <c r="M714" s="16">
        <f t="shared" si="11"/>
        <v>39.979999999999997</v>
      </c>
      <c r="N714" s="1">
        <v>0</v>
      </c>
    </row>
    <row r="715" spans="1:14">
      <c r="A715" s="2">
        <v>46052</v>
      </c>
      <c r="B715" s="1">
        <v>1441</v>
      </c>
      <c r="C715" s="1">
        <v>98</v>
      </c>
      <c r="D715" s="1" t="s">
        <v>61</v>
      </c>
      <c r="E715" s="1" t="s">
        <v>25</v>
      </c>
      <c r="F715" s="1" t="s">
        <v>35</v>
      </c>
      <c r="G715" s="1">
        <v>17</v>
      </c>
      <c r="H715" s="1" t="s">
        <v>60</v>
      </c>
      <c r="I715" s="1" t="s">
        <v>17</v>
      </c>
      <c r="J715" s="1">
        <v>3</v>
      </c>
      <c r="K715" s="1">
        <v>6.61</v>
      </c>
      <c r="L715" s="1">
        <v>5</v>
      </c>
      <c r="M715" s="16">
        <f t="shared" si="11"/>
        <v>18.8385</v>
      </c>
      <c r="N715" s="1">
        <v>0</v>
      </c>
    </row>
    <row r="716" spans="1:14">
      <c r="A716" s="2">
        <v>46024</v>
      </c>
      <c r="B716" s="1">
        <v>1446</v>
      </c>
      <c r="C716" s="1">
        <v>98</v>
      </c>
      <c r="D716" s="1" t="s">
        <v>61</v>
      </c>
      <c r="E716" s="1" t="s">
        <v>25</v>
      </c>
      <c r="F716" s="1" t="s">
        <v>35</v>
      </c>
      <c r="G716" s="1">
        <v>33</v>
      </c>
      <c r="H716" s="1" t="s">
        <v>42</v>
      </c>
      <c r="I716" s="1" t="s">
        <v>31</v>
      </c>
      <c r="J716" s="1">
        <v>1</v>
      </c>
      <c r="K716" s="1">
        <v>40.94</v>
      </c>
      <c r="L716" s="1">
        <v>5.5</v>
      </c>
      <c r="M716" s="16">
        <f t="shared" si="11"/>
        <v>38.688299999999998</v>
      </c>
      <c r="N716" s="1">
        <v>0</v>
      </c>
    </row>
    <row r="717" spans="1:14">
      <c r="A717" s="2">
        <v>46071</v>
      </c>
      <c r="B717" s="1">
        <v>1498</v>
      </c>
      <c r="C717" s="1">
        <v>98</v>
      </c>
      <c r="D717" s="1" t="s">
        <v>61</v>
      </c>
      <c r="E717" s="1" t="s">
        <v>25</v>
      </c>
      <c r="F717" s="1" t="s">
        <v>35</v>
      </c>
      <c r="G717" s="1">
        <v>4</v>
      </c>
      <c r="H717" s="1" t="s">
        <v>92</v>
      </c>
      <c r="I717" s="1" t="s">
        <v>21</v>
      </c>
      <c r="J717" s="1">
        <v>1</v>
      </c>
      <c r="K717" s="1">
        <v>34.83</v>
      </c>
      <c r="L717" s="1">
        <v>10</v>
      </c>
      <c r="M717" s="16">
        <f t="shared" si="11"/>
        <v>31.346999999999998</v>
      </c>
      <c r="N717" s="1">
        <v>0</v>
      </c>
    </row>
    <row r="718" spans="1:14">
      <c r="A718" s="2">
        <v>46073</v>
      </c>
      <c r="B718" s="1">
        <v>1510</v>
      </c>
      <c r="C718" s="1">
        <v>98</v>
      </c>
      <c r="D718" s="1" t="s">
        <v>61</v>
      </c>
      <c r="E718" s="1" t="s">
        <v>25</v>
      </c>
      <c r="F718" s="1" t="s">
        <v>35</v>
      </c>
      <c r="G718" s="1">
        <v>14</v>
      </c>
      <c r="H718" s="1" t="s">
        <v>105</v>
      </c>
      <c r="I718" s="1" t="s">
        <v>33</v>
      </c>
      <c r="J718" s="1">
        <v>1</v>
      </c>
      <c r="K718" s="1">
        <v>15.36</v>
      </c>
      <c r="L718" s="1">
        <v>5</v>
      </c>
      <c r="M718" s="16">
        <f t="shared" si="11"/>
        <v>14.591999999999999</v>
      </c>
      <c r="N718" s="1">
        <v>0</v>
      </c>
    </row>
    <row r="719" spans="1:14">
      <c r="A719" s="2">
        <v>46073</v>
      </c>
      <c r="B719" s="1">
        <v>1510</v>
      </c>
      <c r="C719" s="1">
        <v>98</v>
      </c>
      <c r="D719" s="1" t="s">
        <v>61</v>
      </c>
      <c r="E719" s="1" t="s">
        <v>25</v>
      </c>
      <c r="F719" s="1" t="s">
        <v>35</v>
      </c>
      <c r="G719" s="1">
        <v>37</v>
      </c>
      <c r="H719" s="1" t="s">
        <v>26</v>
      </c>
      <c r="I719" s="1" t="s">
        <v>27</v>
      </c>
      <c r="J719" s="1">
        <v>1</v>
      </c>
      <c r="K719" s="1">
        <v>52.67</v>
      </c>
      <c r="L719" s="1">
        <v>0</v>
      </c>
      <c r="M719" s="16">
        <f t="shared" si="11"/>
        <v>52.67</v>
      </c>
      <c r="N719" s="1">
        <v>0</v>
      </c>
    </row>
    <row r="720" spans="1:14">
      <c r="A720" s="2">
        <v>46075</v>
      </c>
      <c r="B720" s="1">
        <v>1521</v>
      </c>
      <c r="C720" s="1">
        <v>98</v>
      </c>
      <c r="D720" s="1" t="s">
        <v>61</v>
      </c>
      <c r="E720" s="1" t="s">
        <v>25</v>
      </c>
      <c r="F720" s="1" t="s">
        <v>35</v>
      </c>
      <c r="G720" s="1">
        <v>8</v>
      </c>
      <c r="H720" s="1" t="s">
        <v>84</v>
      </c>
      <c r="I720" s="1" t="s">
        <v>21</v>
      </c>
      <c r="J720" s="1">
        <v>3</v>
      </c>
      <c r="K720" s="1">
        <v>16.72</v>
      </c>
      <c r="L720" s="1">
        <v>5.5</v>
      </c>
      <c r="M720" s="16">
        <f t="shared" si="11"/>
        <v>47.401199999999996</v>
      </c>
      <c r="N720" s="1">
        <v>0</v>
      </c>
    </row>
    <row r="721" spans="1:14">
      <c r="A721" s="2">
        <v>46076</v>
      </c>
      <c r="B721" s="1">
        <v>1525</v>
      </c>
      <c r="C721" s="1">
        <v>98</v>
      </c>
      <c r="D721" s="1" t="s">
        <v>61</v>
      </c>
      <c r="E721" s="1" t="s">
        <v>25</v>
      </c>
      <c r="F721" s="1" t="s">
        <v>35</v>
      </c>
      <c r="G721" s="1">
        <v>33</v>
      </c>
      <c r="H721" s="1" t="s">
        <v>42</v>
      </c>
      <c r="I721" s="1" t="s">
        <v>31</v>
      </c>
      <c r="J721" s="1">
        <v>1</v>
      </c>
      <c r="K721" s="1">
        <v>40.94</v>
      </c>
      <c r="L721" s="1">
        <v>0</v>
      </c>
      <c r="M721" s="16">
        <f t="shared" si="11"/>
        <v>40.94</v>
      </c>
      <c r="N721" s="1">
        <v>0</v>
      </c>
    </row>
    <row r="722" spans="1:14">
      <c r="A722" s="2">
        <v>45947</v>
      </c>
      <c r="B722" s="1">
        <v>1019</v>
      </c>
      <c r="C722" s="1">
        <f>_xlfn.XLOOKUP(D722,'Customer Data'!B:B,'Customer Data'!A:A,"Not Found")</f>
        <v>98</v>
      </c>
      <c r="D722" s="1" t="s">
        <v>61</v>
      </c>
      <c r="E722" s="1" t="s">
        <v>25</v>
      </c>
      <c r="F722" s="1" t="s">
        <v>35</v>
      </c>
      <c r="G722" s="1">
        <v>36</v>
      </c>
      <c r="H722" s="1" t="s">
        <v>62</v>
      </c>
      <c r="I722" s="1" t="s">
        <v>27</v>
      </c>
      <c r="J722" s="1">
        <v>1</v>
      </c>
      <c r="K722" s="1">
        <v>23.23</v>
      </c>
      <c r="L722" s="1">
        <v>0</v>
      </c>
      <c r="M722" s="16">
        <f t="shared" si="11"/>
        <v>23.23</v>
      </c>
      <c r="N722" s="1">
        <v>0</v>
      </c>
    </row>
    <row r="723" spans="1:14">
      <c r="A723" s="2">
        <v>45949</v>
      </c>
      <c r="B723" s="1">
        <v>1044</v>
      </c>
      <c r="C723" s="1">
        <v>99</v>
      </c>
      <c r="D723" s="1" t="s">
        <v>82</v>
      </c>
      <c r="E723" s="1" t="s">
        <v>14</v>
      </c>
      <c r="F723" s="1" t="s">
        <v>15</v>
      </c>
      <c r="G723" s="1">
        <v>26</v>
      </c>
      <c r="H723" s="1" t="s">
        <v>83</v>
      </c>
      <c r="I723" s="1" t="s">
        <v>37</v>
      </c>
      <c r="J723" s="1">
        <v>1</v>
      </c>
      <c r="K723" s="1">
        <v>31.76</v>
      </c>
      <c r="L723" s="1">
        <v>25</v>
      </c>
      <c r="M723" s="16">
        <f t="shared" si="11"/>
        <v>23.82</v>
      </c>
      <c r="N723" s="1">
        <v>1</v>
      </c>
    </row>
    <row r="724" spans="1:14">
      <c r="A724" s="2">
        <v>45949</v>
      </c>
      <c r="B724" s="1">
        <v>1032</v>
      </c>
      <c r="C724" s="1">
        <v>99</v>
      </c>
      <c r="D724" s="1" t="s">
        <v>82</v>
      </c>
      <c r="E724" s="1" t="s">
        <v>14</v>
      </c>
      <c r="F724" s="1" t="s">
        <v>15</v>
      </c>
      <c r="G724" s="1">
        <v>8</v>
      </c>
      <c r="H724" s="1" t="s">
        <v>84</v>
      </c>
      <c r="I724" s="1" t="s">
        <v>21</v>
      </c>
      <c r="J724" s="1">
        <v>3</v>
      </c>
      <c r="K724" s="1">
        <v>16.72</v>
      </c>
      <c r="L724" s="1">
        <v>25</v>
      </c>
      <c r="M724" s="16">
        <f t="shared" si="11"/>
        <v>37.619999999999997</v>
      </c>
      <c r="N724" s="1">
        <v>0</v>
      </c>
    </row>
    <row r="725" spans="1:14">
      <c r="A725" s="2">
        <v>45758</v>
      </c>
      <c r="B725" s="1">
        <v>1078</v>
      </c>
      <c r="C725" s="1">
        <v>99</v>
      </c>
      <c r="D725" s="1" t="s">
        <v>82</v>
      </c>
      <c r="E725" s="1" t="s">
        <v>14</v>
      </c>
      <c r="F725" s="1" t="s">
        <v>15</v>
      </c>
      <c r="G725" s="1">
        <v>21</v>
      </c>
      <c r="H725" s="1" t="s">
        <v>97</v>
      </c>
      <c r="I725" s="1" t="s">
        <v>17</v>
      </c>
      <c r="J725" s="1">
        <v>1</v>
      </c>
      <c r="K725" s="1">
        <v>49.37</v>
      </c>
      <c r="L725" s="1">
        <v>20</v>
      </c>
      <c r="M725" s="16">
        <f t="shared" si="11"/>
        <v>39.496000000000002</v>
      </c>
      <c r="N725" s="1">
        <v>0</v>
      </c>
    </row>
    <row r="726" spans="1:14">
      <c r="A726" s="2">
        <v>45973</v>
      </c>
      <c r="B726" s="1">
        <v>1259</v>
      </c>
      <c r="C726" s="1">
        <v>99</v>
      </c>
      <c r="D726" s="1" t="s">
        <v>82</v>
      </c>
      <c r="E726" s="1" t="s">
        <v>14</v>
      </c>
      <c r="F726" s="1" t="s">
        <v>15</v>
      </c>
      <c r="G726" s="1">
        <v>12</v>
      </c>
      <c r="H726" s="1" t="s">
        <v>215</v>
      </c>
      <c r="I726" s="1" t="s">
        <v>163</v>
      </c>
      <c r="J726" s="1">
        <v>1</v>
      </c>
      <c r="K726" s="1">
        <v>8.4499999999999993</v>
      </c>
      <c r="L726" s="1">
        <v>0</v>
      </c>
      <c r="M726" s="16">
        <f t="shared" si="11"/>
        <v>8.4499999999999993</v>
      </c>
      <c r="N726" s="1">
        <v>0</v>
      </c>
    </row>
    <row r="727" spans="1:14">
      <c r="A727" s="2">
        <v>45973</v>
      </c>
      <c r="B727" s="1">
        <v>1259</v>
      </c>
      <c r="C727" s="1">
        <v>99</v>
      </c>
      <c r="D727" s="1" t="s">
        <v>82</v>
      </c>
      <c r="E727" s="1" t="s">
        <v>14</v>
      </c>
      <c r="F727" s="1" t="s">
        <v>15</v>
      </c>
      <c r="G727" s="1">
        <v>13</v>
      </c>
      <c r="H727" s="1" t="s">
        <v>45</v>
      </c>
      <c r="I727" s="1" t="s">
        <v>33</v>
      </c>
      <c r="J727" s="1">
        <v>1</v>
      </c>
      <c r="K727" s="1">
        <v>54.9</v>
      </c>
      <c r="L727" s="1">
        <v>0</v>
      </c>
      <c r="M727" s="16">
        <f t="shared" si="11"/>
        <v>54.9</v>
      </c>
      <c r="N727" s="1">
        <v>0</v>
      </c>
    </row>
    <row r="728" spans="1:14">
      <c r="A728" s="2">
        <v>45973</v>
      </c>
      <c r="B728" s="1">
        <v>1259</v>
      </c>
      <c r="C728" s="1">
        <v>99</v>
      </c>
      <c r="D728" s="1" t="s">
        <v>82</v>
      </c>
      <c r="E728" s="1" t="s">
        <v>14</v>
      </c>
      <c r="F728" s="1" t="s">
        <v>15</v>
      </c>
      <c r="G728" s="1">
        <v>8</v>
      </c>
      <c r="H728" s="1" t="s">
        <v>84</v>
      </c>
      <c r="I728" s="1" t="s">
        <v>21</v>
      </c>
      <c r="J728" s="1">
        <v>1</v>
      </c>
      <c r="K728" s="1">
        <v>16.72</v>
      </c>
      <c r="L728" s="1">
        <v>10</v>
      </c>
      <c r="M728" s="16">
        <f t="shared" si="11"/>
        <v>15.048</v>
      </c>
      <c r="N728" s="1">
        <v>0</v>
      </c>
    </row>
    <row r="729" spans="1:14">
      <c r="A729" s="2">
        <v>46008</v>
      </c>
      <c r="B729" s="1">
        <v>1290</v>
      </c>
      <c r="C729" s="1">
        <v>99</v>
      </c>
      <c r="D729" s="1" t="s">
        <v>82</v>
      </c>
      <c r="E729" s="1" t="s">
        <v>14</v>
      </c>
      <c r="F729" s="1" t="s">
        <v>15</v>
      </c>
      <c r="G729" s="1">
        <v>15</v>
      </c>
      <c r="H729" s="1" t="s">
        <v>48</v>
      </c>
      <c r="I729" s="1" t="s">
        <v>33</v>
      </c>
      <c r="J729" s="1">
        <v>1</v>
      </c>
      <c r="K729" s="1">
        <v>47.71</v>
      </c>
      <c r="L729" s="1">
        <v>10</v>
      </c>
      <c r="M729" s="16">
        <f t="shared" si="11"/>
        <v>42.939</v>
      </c>
      <c r="N729" s="1">
        <v>0</v>
      </c>
    </row>
    <row r="730" spans="1:14">
      <c r="A730" s="2">
        <v>46008</v>
      </c>
      <c r="B730" s="1">
        <v>1290</v>
      </c>
      <c r="C730" s="1">
        <v>99</v>
      </c>
      <c r="D730" s="1" t="s">
        <v>82</v>
      </c>
      <c r="E730" s="1" t="s">
        <v>14</v>
      </c>
      <c r="F730" s="1" t="s">
        <v>15</v>
      </c>
      <c r="G730" s="1">
        <v>14</v>
      </c>
      <c r="H730" s="1" t="s">
        <v>105</v>
      </c>
      <c r="I730" s="1" t="s">
        <v>33</v>
      </c>
      <c r="J730" s="1">
        <v>1</v>
      </c>
      <c r="K730" s="1">
        <v>15.36</v>
      </c>
      <c r="L730" s="1">
        <v>0</v>
      </c>
      <c r="M730" s="16">
        <f t="shared" si="11"/>
        <v>15.36</v>
      </c>
      <c r="N730" s="1">
        <v>0</v>
      </c>
    </row>
    <row r="731" spans="1:14">
      <c r="A731" s="2">
        <v>46008</v>
      </c>
      <c r="B731" s="1">
        <v>1290</v>
      </c>
      <c r="C731" s="1">
        <v>99</v>
      </c>
      <c r="D731" s="1" t="s">
        <v>82</v>
      </c>
      <c r="E731" s="1" t="s">
        <v>14</v>
      </c>
      <c r="F731" s="1" t="s">
        <v>15</v>
      </c>
      <c r="G731" s="1">
        <v>6</v>
      </c>
      <c r="H731" s="1" t="s">
        <v>99</v>
      </c>
      <c r="I731" s="1" t="s">
        <v>21</v>
      </c>
      <c r="J731" s="1">
        <v>1</v>
      </c>
      <c r="K731" s="1">
        <v>70.47</v>
      </c>
      <c r="L731" s="1">
        <v>5</v>
      </c>
      <c r="M731" s="16">
        <f t="shared" si="11"/>
        <v>66.9465</v>
      </c>
      <c r="N731" s="1">
        <v>0</v>
      </c>
    </row>
    <row r="732" spans="1:14">
      <c r="A732" s="2">
        <v>46044</v>
      </c>
      <c r="B732" s="1">
        <v>1421</v>
      </c>
      <c r="C732" s="1">
        <v>99</v>
      </c>
      <c r="D732" s="1" t="s">
        <v>82</v>
      </c>
      <c r="E732" s="1" t="s">
        <v>14</v>
      </c>
      <c r="F732" s="1" t="s">
        <v>15</v>
      </c>
      <c r="G732" s="1">
        <v>10</v>
      </c>
      <c r="H732" s="1" t="s">
        <v>32</v>
      </c>
      <c r="I732" s="1" t="s">
        <v>33</v>
      </c>
      <c r="J732" s="1">
        <v>1</v>
      </c>
      <c r="K732" s="1">
        <v>62.68</v>
      </c>
      <c r="L732" s="1">
        <v>0</v>
      </c>
      <c r="M732" s="16">
        <f t="shared" si="11"/>
        <v>62.68</v>
      </c>
      <c r="N732" s="1">
        <v>0</v>
      </c>
    </row>
    <row r="733" spans="1:14">
      <c r="A733" s="2">
        <v>46076</v>
      </c>
      <c r="B733" s="1">
        <v>1526</v>
      </c>
      <c r="C733" s="1">
        <v>99</v>
      </c>
      <c r="D733" s="1" t="s">
        <v>82</v>
      </c>
      <c r="E733" s="1" t="s">
        <v>14</v>
      </c>
      <c r="F733" s="1" t="s">
        <v>15</v>
      </c>
      <c r="G733" s="1">
        <v>33</v>
      </c>
      <c r="H733" s="1" t="s">
        <v>42</v>
      </c>
      <c r="I733" s="1" t="s">
        <v>31</v>
      </c>
      <c r="J733" s="1">
        <v>1</v>
      </c>
      <c r="K733" s="1">
        <v>40.94</v>
      </c>
      <c r="L733" s="1">
        <v>0</v>
      </c>
      <c r="M733" s="16">
        <f t="shared" si="11"/>
        <v>40.94</v>
      </c>
      <c r="N733" s="1">
        <v>0</v>
      </c>
    </row>
    <row r="734" spans="1:14">
      <c r="A734" s="2">
        <v>45949</v>
      </c>
      <c r="B734" s="1">
        <v>1032</v>
      </c>
      <c r="C734" s="1">
        <f>_xlfn.XLOOKUP(D734,'Customer Data'!B:B,'Customer Data'!A:A,"Not Found")</f>
        <v>99</v>
      </c>
      <c r="D734" s="1" t="s">
        <v>82</v>
      </c>
      <c r="E734" s="1" t="s">
        <v>14</v>
      </c>
      <c r="F734" s="1" t="s">
        <v>15</v>
      </c>
      <c r="G734" s="1">
        <v>1</v>
      </c>
      <c r="H734" s="1" t="s">
        <v>20</v>
      </c>
      <c r="I734" s="1" t="s">
        <v>21</v>
      </c>
      <c r="J734" s="1">
        <v>1</v>
      </c>
      <c r="K734" s="1">
        <v>47.45</v>
      </c>
      <c r="L734" s="1">
        <v>20</v>
      </c>
      <c r="M734" s="16">
        <f t="shared" si="11"/>
        <v>37.96</v>
      </c>
      <c r="N734" s="1">
        <v>0</v>
      </c>
    </row>
    <row r="735" spans="1:14">
      <c r="A735" s="2">
        <v>45946</v>
      </c>
      <c r="B735" s="1">
        <v>1016</v>
      </c>
      <c r="C735" s="1">
        <v>100</v>
      </c>
      <c r="D735" s="1" t="s">
        <v>54</v>
      </c>
      <c r="E735" s="1" t="s">
        <v>25</v>
      </c>
      <c r="F735" s="1" t="s">
        <v>55</v>
      </c>
      <c r="G735" s="1">
        <v>15</v>
      </c>
      <c r="H735" s="1" t="s">
        <v>48</v>
      </c>
      <c r="I735" s="1" t="s">
        <v>33</v>
      </c>
      <c r="J735" s="1">
        <v>1</v>
      </c>
      <c r="K735" s="1">
        <v>47.71</v>
      </c>
      <c r="L735" s="1">
        <v>10</v>
      </c>
      <c r="M735" s="16">
        <f t="shared" si="11"/>
        <v>42.939</v>
      </c>
      <c r="N735" s="1">
        <v>0</v>
      </c>
    </row>
    <row r="736" spans="1:14">
      <c r="A736" s="2">
        <v>45951</v>
      </c>
      <c r="B736" s="1">
        <v>1040</v>
      </c>
      <c r="C736" s="1">
        <v>100</v>
      </c>
      <c r="D736" s="1" t="s">
        <v>54</v>
      </c>
      <c r="E736" s="1" t="s">
        <v>25</v>
      </c>
      <c r="F736" s="1" t="s">
        <v>55</v>
      </c>
      <c r="G736" s="1">
        <v>25</v>
      </c>
      <c r="H736" s="1" t="s">
        <v>214</v>
      </c>
      <c r="I736" s="1" t="s">
        <v>37</v>
      </c>
      <c r="J736" s="1">
        <v>2</v>
      </c>
      <c r="K736" s="1">
        <v>17.78</v>
      </c>
      <c r="L736" s="1">
        <v>5</v>
      </c>
      <c r="M736" s="16">
        <f t="shared" si="11"/>
        <v>33.782000000000004</v>
      </c>
      <c r="N736" s="1">
        <v>0</v>
      </c>
    </row>
    <row r="737" spans="1:14">
      <c r="A737" s="2">
        <v>45911</v>
      </c>
      <c r="B737" s="1">
        <v>1101</v>
      </c>
      <c r="C737" s="1">
        <v>100</v>
      </c>
      <c r="D737" s="1" t="s">
        <v>54</v>
      </c>
      <c r="E737" s="1" t="s">
        <v>25</v>
      </c>
      <c r="F737" s="1" t="s">
        <v>55</v>
      </c>
      <c r="G737" s="1">
        <v>39</v>
      </c>
      <c r="H737" s="1" t="s">
        <v>36</v>
      </c>
      <c r="I737" s="1" t="s">
        <v>27</v>
      </c>
      <c r="J737" s="1">
        <v>1</v>
      </c>
      <c r="K737" s="1">
        <v>39.979999999999997</v>
      </c>
      <c r="L737" s="1">
        <v>20</v>
      </c>
      <c r="M737" s="16">
        <f t="shared" si="11"/>
        <v>31.983999999999998</v>
      </c>
      <c r="N737" s="1">
        <v>0</v>
      </c>
    </row>
    <row r="738" spans="1:14">
      <c r="A738" s="2">
        <v>45911</v>
      </c>
      <c r="B738" s="1">
        <v>1101</v>
      </c>
      <c r="C738" s="1">
        <v>100</v>
      </c>
      <c r="D738" s="1" t="s">
        <v>54</v>
      </c>
      <c r="E738" s="1" t="s">
        <v>25</v>
      </c>
      <c r="F738" s="1" t="s">
        <v>55</v>
      </c>
      <c r="G738" s="1">
        <v>2</v>
      </c>
      <c r="H738" s="1" t="s">
        <v>80</v>
      </c>
      <c r="I738" s="1" t="s">
        <v>21</v>
      </c>
      <c r="J738" s="1">
        <v>1</v>
      </c>
      <c r="K738" s="1">
        <v>64.02</v>
      </c>
      <c r="L738" s="1">
        <v>5.5</v>
      </c>
      <c r="M738" s="16">
        <f t="shared" si="11"/>
        <v>60.498899999999992</v>
      </c>
      <c r="N738" s="1">
        <v>0</v>
      </c>
    </row>
    <row r="739" spans="1:14">
      <c r="A739" s="2">
        <v>45977</v>
      </c>
      <c r="B739" s="1">
        <v>1136</v>
      </c>
      <c r="C739" s="1">
        <v>100</v>
      </c>
      <c r="D739" s="1" t="s">
        <v>54</v>
      </c>
      <c r="E739" s="1" t="s">
        <v>25</v>
      </c>
      <c r="F739" s="1" t="s">
        <v>55</v>
      </c>
      <c r="G739" s="1">
        <v>8</v>
      </c>
      <c r="H739" s="1" t="s">
        <v>84</v>
      </c>
      <c r="I739" s="1" t="s">
        <v>21</v>
      </c>
      <c r="J739" s="1">
        <v>1</v>
      </c>
      <c r="K739" s="1">
        <v>16.72</v>
      </c>
      <c r="L739" s="1">
        <v>10</v>
      </c>
      <c r="M739" s="16">
        <f t="shared" si="11"/>
        <v>15.048</v>
      </c>
      <c r="N739" s="1">
        <v>1</v>
      </c>
    </row>
    <row r="740" spans="1:14">
      <c r="A740" s="2">
        <v>45979</v>
      </c>
      <c r="B740" s="1">
        <v>1147</v>
      </c>
      <c r="C740" s="1">
        <v>100</v>
      </c>
      <c r="D740" s="1" t="s">
        <v>54</v>
      </c>
      <c r="E740" s="1" t="s">
        <v>25</v>
      </c>
      <c r="F740" s="1" t="s">
        <v>55</v>
      </c>
      <c r="G740" s="1">
        <v>12</v>
      </c>
      <c r="H740" s="1" t="s">
        <v>215</v>
      </c>
      <c r="I740" s="1" t="s">
        <v>33</v>
      </c>
      <c r="J740" s="1">
        <v>1</v>
      </c>
      <c r="K740" s="1">
        <v>8.4499999999999993</v>
      </c>
      <c r="L740" s="1">
        <v>0</v>
      </c>
      <c r="M740" s="16">
        <f t="shared" si="11"/>
        <v>8.4499999999999993</v>
      </c>
      <c r="N740" s="1">
        <v>0</v>
      </c>
    </row>
    <row r="741" spans="1:14">
      <c r="A741" s="2">
        <v>45982</v>
      </c>
      <c r="B741" s="1">
        <v>1160</v>
      </c>
      <c r="C741" s="1">
        <v>100</v>
      </c>
      <c r="D741" s="1" t="s">
        <v>54</v>
      </c>
      <c r="E741" s="1" t="s">
        <v>25</v>
      </c>
      <c r="F741" s="1" t="s">
        <v>55</v>
      </c>
      <c r="G741" s="1">
        <v>18</v>
      </c>
      <c r="H741" s="1" t="s">
        <v>23</v>
      </c>
      <c r="I741" s="1" t="s">
        <v>17</v>
      </c>
      <c r="J741" s="1">
        <v>1</v>
      </c>
      <c r="K741" s="1">
        <v>44.01</v>
      </c>
      <c r="L741" s="1">
        <v>10</v>
      </c>
      <c r="M741" s="16">
        <f t="shared" si="11"/>
        <v>39.609000000000002</v>
      </c>
      <c r="N741" s="1">
        <v>0</v>
      </c>
    </row>
    <row r="742" spans="1:14">
      <c r="A742" s="2">
        <v>46016</v>
      </c>
      <c r="B742" s="1">
        <v>1169</v>
      </c>
      <c r="C742" s="1">
        <v>100</v>
      </c>
      <c r="D742" s="1" t="s">
        <v>54</v>
      </c>
      <c r="E742" s="1" t="s">
        <v>25</v>
      </c>
      <c r="F742" s="1" t="s">
        <v>55</v>
      </c>
      <c r="G742" s="1">
        <v>18</v>
      </c>
      <c r="H742" s="1" t="s">
        <v>23</v>
      </c>
      <c r="I742" s="14" t="str">
        <f>_xlfn.XLOOKUP(H742,'Product Data'!$B$2:$B$100,'Product Data'!$C$2:$C$100,"Not Found")</f>
        <v>Home</v>
      </c>
      <c r="J742" s="1">
        <v>1</v>
      </c>
      <c r="K742" s="1">
        <v>44.01</v>
      </c>
      <c r="L742" s="1">
        <v>10</v>
      </c>
      <c r="M742" s="16">
        <f t="shared" si="11"/>
        <v>39.609000000000002</v>
      </c>
      <c r="N742" s="1">
        <v>0</v>
      </c>
    </row>
    <row r="743" spans="1:14">
      <c r="A743" s="2">
        <v>46003</v>
      </c>
      <c r="B743" s="1">
        <v>1267</v>
      </c>
      <c r="C743" s="1">
        <v>100</v>
      </c>
      <c r="D743" s="1" t="s">
        <v>54</v>
      </c>
      <c r="E743" s="1" t="s">
        <v>25</v>
      </c>
      <c r="F743" s="1" t="s">
        <v>55</v>
      </c>
      <c r="G743" s="1">
        <v>31</v>
      </c>
      <c r="H743" s="1" t="s">
        <v>30</v>
      </c>
      <c r="I743" s="1" t="s">
        <v>31</v>
      </c>
      <c r="J743" s="1">
        <v>1</v>
      </c>
      <c r="K743" s="1">
        <v>57.51</v>
      </c>
      <c r="L743" s="1">
        <v>5</v>
      </c>
      <c r="M743" s="16">
        <f t="shared" si="11"/>
        <v>54.634499999999996</v>
      </c>
      <c r="N743" s="1">
        <v>0</v>
      </c>
    </row>
    <row r="744" spans="1:14">
      <c r="A744" s="2">
        <v>46010</v>
      </c>
      <c r="B744" s="1">
        <v>1300</v>
      </c>
      <c r="C744" s="1">
        <v>100</v>
      </c>
      <c r="D744" s="1" t="s">
        <v>54</v>
      </c>
      <c r="E744" s="1" t="s">
        <v>25</v>
      </c>
      <c r="F744" s="1" t="s">
        <v>55</v>
      </c>
      <c r="G744" s="1">
        <v>19</v>
      </c>
      <c r="H744" s="1" t="s">
        <v>64</v>
      </c>
      <c r="I744" s="1" t="s">
        <v>17</v>
      </c>
      <c r="J744" s="1">
        <v>1</v>
      </c>
      <c r="K744" s="1">
        <v>50.14</v>
      </c>
      <c r="L744" s="1">
        <v>0</v>
      </c>
      <c r="M744" s="16">
        <f t="shared" si="11"/>
        <v>50.14</v>
      </c>
      <c r="N744" s="1">
        <v>0</v>
      </c>
    </row>
    <row r="745" spans="1:14">
      <c r="A745" s="2">
        <v>46013</v>
      </c>
      <c r="B745" s="1">
        <v>1311</v>
      </c>
      <c r="C745" s="1">
        <v>100</v>
      </c>
      <c r="D745" s="1" t="s">
        <v>54</v>
      </c>
      <c r="E745" s="1" t="s">
        <v>25</v>
      </c>
      <c r="F745" s="1" t="s">
        <v>55</v>
      </c>
      <c r="G745" s="1">
        <v>38</v>
      </c>
      <c r="H745" s="1" t="s">
        <v>70</v>
      </c>
      <c r="I745" s="1" t="s">
        <v>27</v>
      </c>
      <c r="J745" s="1">
        <v>1</v>
      </c>
      <c r="K745" s="1">
        <v>25.14</v>
      </c>
      <c r="L745" s="1">
        <v>15</v>
      </c>
      <c r="M745" s="16">
        <f t="shared" si="11"/>
        <v>21.369</v>
      </c>
      <c r="N745" s="1">
        <v>0</v>
      </c>
    </row>
    <row r="746" spans="1:14">
      <c r="A746" s="2">
        <v>46016</v>
      </c>
      <c r="B746" s="1">
        <v>1327</v>
      </c>
      <c r="C746" s="1">
        <v>100</v>
      </c>
      <c r="D746" s="1" t="s">
        <v>54</v>
      </c>
      <c r="E746" s="1" t="s">
        <v>25</v>
      </c>
      <c r="F746" s="1" t="s">
        <v>55</v>
      </c>
      <c r="G746" s="1">
        <v>18</v>
      </c>
      <c r="H746" s="1" t="s">
        <v>23</v>
      </c>
      <c r="I746" s="1" t="s">
        <v>17</v>
      </c>
      <c r="J746" s="1">
        <v>1</v>
      </c>
      <c r="K746" s="1">
        <v>44.01</v>
      </c>
      <c r="L746" s="1">
        <v>10</v>
      </c>
      <c r="M746" s="16">
        <f t="shared" si="11"/>
        <v>39.609000000000002</v>
      </c>
      <c r="N746" s="1">
        <v>0</v>
      </c>
    </row>
    <row r="747" spans="1:14">
      <c r="A747" s="2">
        <v>46054</v>
      </c>
      <c r="B747" s="1">
        <v>1366</v>
      </c>
      <c r="C747" s="1">
        <v>100</v>
      </c>
      <c r="D747" s="1" t="s">
        <v>54</v>
      </c>
      <c r="E747" s="1" t="s">
        <v>25</v>
      </c>
      <c r="F747" s="1" t="s">
        <v>55</v>
      </c>
      <c r="G747" s="1">
        <v>32</v>
      </c>
      <c r="H747" s="1" t="s">
        <v>103</v>
      </c>
      <c r="I747" s="1" t="s">
        <v>31</v>
      </c>
      <c r="J747" s="1">
        <v>1</v>
      </c>
      <c r="K747" s="1">
        <v>61.06</v>
      </c>
      <c r="L747" s="1">
        <v>25</v>
      </c>
      <c r="M747" s="16">
        <f t="shared" si="11"/>
        <v>45.795000000000002</v>
      </c>
      <c r="N747" s="1">
        <v>0</v>
      </c>
    </row>
    <row r="748" spans="1:14">
      <c r="A748" s="2">
        <v>46054</v>
      </c>
      <c r="B748" s="1">
        <v>1366</v>
      </c>
      <c r="C748" s="1">
        <v>100</v>
      </c>
      <c r="D748" s="1" t="s">
        <v>54</v>
      </c>
      <c r="E748" s="1" t="s">
        <v>25</v>
      </c>
      <c r="F748" s="1" t="s">
        <v>55</v>
      </c>
      <c r="G748" s="1">
        <v>9</v>
      </c>
      <c r="H748" s="1" t="s">
        <v>69</v>
      </c>
      <c r="I748" s="1" t="s">
        <v>33</v>
      </c>
      <c r="J748" s="1">
        <v>1</v>
      </c>
      <c r="K748" s="1">
        <v>20.69</v>
      </c>
      <c r="L748" s="1">
        <v>10</v>
      </c>
      <c r="M748" s="16">
        <f t="shared" si="11"/>
        <v>18.621000000000002</v>
      </c>
      <c r="N748" s="1">
        <v>0</v>
      </c>
    </row>
    <row r="749" spans="1:14">
      <c r="A749" s="2">
        <v>46045</v>
      </c>
      <c r="B749" s="1">
        <v>1424</v>
      </c>
      <c r="C749" s="1">
        <v>100</v>
      </c>
      <c r="D749" s="1" t="s">
        <v>54</v>
      </c>
      <c r="E749" s="1" t="s">
        <v>25</v>
      </c>
      <c r="F749" s="1" t="s">
        <v>55</v>
      </c>
      <c r="G749" s="1">
        <v>36</v>
      </c>
      <c r="H749" s="1" t="s">
        <v>62</v>
      </c>
      <c r="I749" s="1" t="s">
        <v>27</v>
      </c>
      <c r="J749" s="1">
        <v>2</v>
      </c>
      <c r="K749" s="1">
        <v>23.23</v>
      </c>
      <c r="L749" s="1">
        <v>25</v>
      </c>
      <c r="M749" s="16">
        <f t="shared" si="11"/>
        <v>34.844999999999999</v>
      </c>
      <c r="N749" s="1">
        <v>0</v>
      </c>
    </row>
    <row r="750" spans="1:14">
      <c r="A750" s="2">
        <v>46205</v>
      </c>
      <c r="B750" s="1">
        <v>1463</v>
      </c>
      <c r="C750" s="1">
        <v>100</v>
      </c>
      <c r="D750" s="1" t="s">
        <v>54</v>
      </c>
      <c r="E750" s="1" t="s">
        <v>25</v>
      </c>
      <c r="F750" s="1" t="s">
        <v>55</v>
      </c>
      <c r="G750" s="1">
        <v>9</v>
      </c>
      <c r="H750" s="1" t="s">
        <v>69</v>
      </c>
      <c r="I750" s="1" t="s">
        <v>33</v>
      </c>
      <c r="J750" s="1">
        <v>1</v>
      </c>
      <c r="K750" s="1">
        <v>20.69</v>
      </c>
      <c r="L750" s="1">
        <v>10</v>
      </c>
      <c r="M750" s="16">
        <f t="shared" si="11"/>
        <v>18.621000000000002</v>
      </c>
      <c r="N750" s="1">
        <v>0</v>
      </c>
    </row>
    <row r="751" spans="1:14">
      <c r="A751" s="2">
        <v>46064</v>
      </c>
      <c r="B751" s="1">
        <v>1474</v>
      </c>
      <c r="C751" s="1">
        <v>100</v>
      </c>
      <c r="D751" s="1" t="s">
        <v>54</v>
      </c>
      <c r="E751" s="1" t="s">
        <v>25</v>
      </c>
      <c r="F751" s="1" t="s">
        <v>55</v>
      </c>
      <c r="G751" s="1">
        <v>20</v>
      </c>
      <c r="H751" s="1" t="s">
        <v>16</v>
      </c>
      <c r="I751" s="1" t="s">
        <v>139</v>
      </c>
      <c r="J751" s="1">
        <v>1</v>
      </c>
      <c r="K751" s="1">
        <v>32.76</v>
      </c>
      <c r="L751" s="1">
        <v>25</v>
      </c>
      <c r="M751" s="16">
        <f t="shared" si="11"/>
        <v>24.57</v>
      </c>
      <c r="N751" s="1">
        <v>0</v>
      </c>
    </row>
    <row r="752" spans="1:14">
      <c r="A752" s="2">
        <v>46067</v>
      </c>
      <c r="B752" s="1">
        <v>1486</v>
      </c>
      <c r="C752" s="1">
        <v>100</v>
      </c>
      <c r="D752" s="1" t="s">
        <v>54</v>
      </c>
      <c r="E752" s="1" t="s">
        <v>25</v>
      </c>
      <c r="F752" s="1" t="s">
        <v>55</v>
      </c>
      <c r="G752" s="1">
        <v>5</v>
      </c>
      <c r="H752" s="1" t="s">
        <v>38</v>
      </c>
      <c r="I752" s="1" t="s">
        <v>21</v>
      </c>
      <c r="J752" s="1">
        <v>1</v>
      </c>
      <c r="K752" s="1">
        <v>42.53</v>
      </c>
      <c r="L752" s="1">
        <v>5</v>
      </c>
      <c r="M752" s="16">
        <f t="shared" si="11"/>
        <v>40.403500000000001</v>
      </c>
      <c r="N752" s="1">
        <v>0</v>
      </c>
    </row>
    <row r="753" spans="1:14">
      <c r="A753" s="2">
        <v>46067</v>
      </c>
      <c r="B753" s="1">
        <v>1486</v>
      </c>
      <c r="C753" s="1">
        <v>100</v>
      </c>
      <c r="D753" s="1" t="s">
        <v>54</v>
      </c>
      <c r="E753" s="1" t="s">
        <v>25</v>
      </c>
      <c r="F753" s="1" t="s">
        <v>55</v>
      </c>
      <c r="G753" s="1">
        <v>17</v>
      </c>
      <c r="H753" s="1" t="s">
        <v>60</v>
      </c>
      <c r="I753" s="1" t="s">
        <v>17</v>
      </c>
      <c r="J753" s="1">
        <v>3</v>
      </c>
      <c r="K753" s="1">
        <v>6.61</v>
      </c>
      <c r="L753" s="1">
        <v>0</v>
      </c>
      <c r="M753" s="16">
        <f t="shared" si="11"/>
        <v>19.830000000000002</v>
      </c>
      <c r="N753" s="1">
        <v>0</v>
      </c>
    </row>
    <row r="754" spans="1:14">
      <c r="A754" s="2">
        <v>46067</v>
      </c>
      <c r="B754" s="1">
        <v>1486</v>
      </c>
      <c r="C754" s="1">
        <v>100</v>
      </c>
      <c r="D754" s="1" t="s">
        <v>54</v>
      </c>
      <c r="E754" s="1" t="s">
        <v>25</v>
      </c>
      <c r="F754" s="1" t="s">
        <v>55</v>
      </c>
      <c r="G754" s="1">
        <v>1</v>
      </c>
      <c r="H754" s="1" t="s">
        <v>20</v>
      </c>
      <c r="I754" s="1" t="s">
        <v>21</v>
      </c>
      <c r="J754" s="1">
        <v>1</v>
      </c>
      <c r="K754" s="1">
        <v>47.45</v>
      </c>
      <c r="L754" s="1">
        <v>5</v>
      </c>
      <c r="M754" s="16">
        <f t="shared" si="11"/>
        <v>45.077500000000001</v>
      </c>
      <c r="N754" s="1">
        <v>0</v>
      </c>
    </row>
    <row r="755" spans="1:14">
      <c r="A755" s="2">
        <v>46054</v>
      </c>
      <c r="B755" s="1">
        <v>1366</v>
      </c>
      <c r="C755" s="1">
        <f>_xlfn.XLOOKUP(D755,'Customer Data'!B:B,'Customer Data'!A:A,"Not Found")</f>
        <v>100</v>
      </c>
      <c r="D755" s="1" t="s">
        <v>54</v>
      </c>
      <c r="E755" s="1" t="s">
        <v>25</v>
      </c>
      <c r="F755" s="1" t="s">
        <v>55</v>
      </c>
      <c r="G755" s="1">
        <v>24</v>
      </c>
      <c r="H755" s="1" t="s">
        <v>44</v>
      </c>
      <c r="I755" s="1" t="s">
        <v>37</v>
      </c>
      <c r="J755" s="1">
        <v>1</v>
      </c>
      <c r="K755" s="1">
        <v>43.42</v>
      </c>
      <c r="L755" s="1">
        <v>25</v>
      </c>
      <c r="M755" s="16">
        <f t="shared" si="11"/>
        <v>32.564999999999998</v>
      </c>
      <c r="N755" s="1">
        <v>0</v>
      </c>
    </row>
    <row r="756" spans="1:14">
      <c r="A756" s="2">
        <v>45949</v>
      </c>
      <c r="B756" s="1">
        <v>1033</v>
      </c>
      <c r="C756" s="1">
        <v>101</v>
      </c>
      <c r="D756" s="1" t="s">
        <v>85</v>
      </c>
      <c r="E756" s="1" t="s">
        <v>25</v>
      </c>
      <c r="F756" s="1" t="s">
        <v>55</v>
      </c>
      <c r="G756" s="1">
        <v>26</v>
      </c>
      <c r="H756" s="1" t="s">
        <v>83</v>
      </c>
      <c r="I756" s="1" t="s">
        <v>37</v>
      </c>
      <c r="J756" s="1">
        <v>2</v>
      </c>
      <c r="K756" s="1">
        <v>31.76</v>
      </c>
      <c r="L756" s="1">
        <v>10</v>
      </c>
      <c r="M756" s="16">
        <f t="shared" si="11"/>
        <v>57.168000000000006</v>
      </c>
      <c r="N756" s="1">
        <v>0</v>
      </c>
    </row>
    <row r="757" spans="1:14">
      <c r="A757" s="2">
        <v>45961</v>
      </c>
      <c r="B757" s="1">
        <v>1062</v>
      </c>
      <c r="C757" s="1">
        <v>101</v>
      </c>
      <c r="D757" s="1" t="s">
        <v>85</v>
      </c>
      <c r="E757" s="1" t="s">
        <v>25</v>
      </c>
      <c r="F757" s="1" t="s">
        <v>55</v>
      </c>
      <c r="G757" s="1">
        <v>10</v>
      </c>
      <c r="H757" s="1" t="s">
        <v>32</v>
      </c>
      <c r="I757" s="1" t="s">
        <v>33</v>
      </c>
      <c r="J757" s="1">
        <v>2</v>
      </c>
      <c r="K757" s="1">
        <v>62.68</v>
      </c>
      <c r="L757" s="1">
        <v>0</v>
      </c>
      <c r="M757" s="16">
        <f t="shared" si="11"/>
        <v>125.36</v>
      </c>
      <c r="N757" s="1">
        <v>0</v>
      </c>
    </row>
    <row r="758" spans="1:14">
      <c r="A758" s="2">
        <v>45880</v>
      </c>
      <c r="B758" s="1">
        <v>1093</v>
      </c>
      <c r="C758" s="1">
        <v>101</v>
      </c>
      <c r="D758" s="1" t="s">
        <v>85</v>
      </c>
      <c r="E758" s="1" t="s">
        <v>25</v>
      </c>
      <c r="F758" s="1" t="s">
        <v>55</v>
      </c>
      <c r="G758" s="1">
        <v>28</v>
      </c>
      <c r="H758" s="1" t="s">
        <v>51</v>
      </c>
      <c r="I758" s="1" t="s">
        <v>37</v>
      </c>
      <c r="J758" s="1">
        <v>2</v>
      </c>
      <c r="K758" s="1">
        <v>21.24</v>
      </c>
      <c r="L758" s="1">
        <v>10</v>
      </c>
      <c r="M758" s="16">
        <f t="shared" si="11"/>
        <v>38.231999999999999</v>
      </c>
      <c r="N758" s="1">
        <v>0</v>
      </c>
    </row>
    <row r="759" spans="1:14">
      <c r="A759" s="2">
        <v>45976</v>
      </c>
      <c r="B759" s="1">
        <v>1133</v>
      </c>
      <c r="C759" s="1">
        <v>101</v>
      </c>
      <c r="D759" s="1" t="s">
        <v>85</v>
      </c>
      <c r="E759" s="1" t="s">
        <v>25</v>
      </c>
      <c r="F759" s="1" t="s">
        <v>55</v>
      </c>
      <c r="G759" s="1">
        <v>23</v>
      </c>
      <c r="H759" s="1" t="s">
        <v>98</v>
      </c>
      <c r="I759" s="1" t="s">
        <v>37</v>
      </c>
      <c r="J759" s="1">
        <v>3</v>
      </c>
      <c r="K759" s="1">
        <v>38.14</v>
      </c>
      <c r="L759" s="1">
        <v>0</v>
      </c>
      <c r="M759" s="16">
        <f t="shared" si="11"/>
        <v>114.42</v>
      </c>
      <c r="N759" s="1">
        <v>0</v>
      </c>
    </row>
    <row r="760" spans="1:14">
      <c r="A760" s="2">
        <v>46016</v>
      </c>
      <c r="B760" s="1">
        <v>1133</v>
      </c>
      <c r="C760" s="1">
        <v>101</v>
      </c>
      <c r="D760" s="1" t="s">
        <v>85</v>
      </c>
      <c r="E760" s="1" t="s">
        <v>25</v>
      </c>
      <c r="F760" s="1" t="s">
        <v>55</v>
      </c>
      <c r="G760" s="1">
        <v>34</v>
      </c>
      <c r="H760" s="1" t="s">
        <v>130</v>
      </c>
      <c r="I760" s="1" t="s">
        <v>31</v>
      </c>
      <c r="J760" s="1">
        <v>1</v>
      </c>
      <c r="K760" s="1">
        <v>58.26</v>
      </c>
      <c r="L760" s="1">
        <v>0</v>
      </c>
      <c r="M760" s="16">
        <f t="shared" si="11"/>
        <v>58.26</v>
      </c>
      <c r="N760" s="1">
        <v>0</v>
      </c>
    </row>
    <row r="761" spans="1:14">
      <c r="A761" s="2">
        <v>45976</v>
      </c>
      <c r="B761" s="1">
        <v>1133</v>
      </c>
      <c r="C761" s="1">
        <v>101</v>
      </c>
      <c r="D761" s="1" t="s">
        <v>85</v>
      </c>
      <c r="E761" s="1" t="s">
        <v>25</v>
      </c>
      <c r="F761" s="1" t="s">
        <v>55</v>
      </c>
      <c r="G761" s="1">
        <v>18</v>
      </c>
      <c r="H761" s="1" t="s">
        <v>23</v>
      </c>
      <c r="I761" s="1" t="s">
        <v>17</v>
      </c>
      <c r="J761" s="1">
        <v>1</v>
      </c>
      <c r="K761" s="1">
        <v>44.01</v>
      </c>
      <c r="L761" s="1">
        <v>0</v>
      </c>
      <c r="M761" s="16">
        <f t="shared" si="11"/>
        <v>44.01</v>
      </c>
      <c r="N761" s="1">
        <v>0</v>
      </c>
    </row>
    <row r="762" spans="1:14">
      <c r="A762" s="2">
        <v>45976</v>
      </c>
      <c r="B762" s="1">
        <v>1133</v>
      </c>
      <c r="C762" s="1">
        <v>101</v>
      </c>
      <c r="D762" s="1" t="s">
        <v>85</v>
      </c>
      <c r="E762" s="1" t="s">
        <v>25</v>
      </c>
      <c r="F762" s="1" t="s">
        <v>55</v>
      </c>
      <c r="G762" s="1">
        <v>20</v>
      </c>
      <c r="H762" s="1" t="s">
        <v>16</v>
      </c>
      <c r="I762" s="1" t="s">
        <v>17</v>
      </c>
      <c r="J762" s="1">
        <v>1</v>
      </c>
      <c r="K762" s="1">
        <v>32.76</v>
      </c>
      <c r="L762" s="1">
        <v>0</v>
      </c>
      <c r="M762" s="16">
        <f t="shared" si="11"/>
        <v>32.76</v>
      </c>
      <c r="N762" s="1">
        <v>0</v>
      </c>
    </row>
    <row r="763" spans="1:14">
      <c r="A763" s="2">
        <v>45986</v>
      </c>
      <c r="B763" s="1">
        <v>1176</v>
      </c>
      <c r="C763" s="1">
        <v>101</v>
      </c>
      <c r="D763" s="1" t="s">
        <v>85</v>
      </c>
      <c r="E763" s="1" t="s">
        <v>25</v>
      </c>
      <c r="F763" s="1" t="s">
        <v>55</v>
      </c>
      <c r="G763" s="1">
        <v>18</v>
      </c>
      <c r="H763" s="1" t="s">
        <v>23</v>
      </c>
      <c r="I763" s="1" t="s">
        <v>17</v>
      </c>
      <c r="J763" s="1">
        <v>1</v>
      </c>
      <c r="K763" s="1">
        <v>44.01</v>
      </c>
      <c r="L763" s="1">
        <v>15</v>
      </c>
      <c r="M763" s="16">
        <f t="shared" si="11"/>
        <v>37.408499999999997</v>
      </c>
      <c r="N763" s="1">
        <v>0</v>
      </c>
    </row>
    <row r="764" spans="1:14">
      <c r="A764" s="2">
        <v>45987</v>
      </c>
      <c r="B764" s="1">
        <v>1183</v>
      </c>
      <c r="C764" s="1">
        <v>101</v>
      </c>
      <c r="D764" s="1" t="s">
        <v>85</v>
      </c>
      <c r="E764" s="1" t="s">
        <v>25</v>
      </c>
      <c r="F764" s="1" t="s">
        <v>55</v>
      </c>
      <c r="G764" s="1">
        <v>25</v>
      </c>
      <c r="H764" s="1" t="s">
        <v>214</v>
      </c>
      <c r="I764" s="1" t="s">
        <v>37</v>
      </c>
      <c r="J764" s="1">
        <v>1</v>
      </c>
      <c r="K764" s="1">
        <v>17.78</v>
      </c>
      <c r="L764" s="1">
        <v>10</v>
      </c>
      <c r="M764" s="16">
        <f t="shared" si="11"/>
        <v>16.002000000000002</v>
      </c>
      <c r="N764" s="1">
        <v>0</v>
      </c>
    </row>
    <row r="765" spans="1:14">
      <c r="A765" s="2">
        <v>45987</v>
      </c>
      <c r="B765" s="1">
        <v>1183</v>
      </c>
      <c r="C765" s="1">
        <v>101</v>
      </c>
      <c r="D765" s="1" t="s">
        <v>85</v>
      </c>
      <c r="E765" s="1" t="s">
        <v>25</v>
      </c>
      <c r="F765" s="1" t="s">
        <v>55</v>
      </c>
      <c r="G765" s="1">
        <v>40</v>
      </c>
      <c r="H765" s="1" t="s">
        <v>53</v>
      </c>
      <c r="I765" s="1" t="s">
        <v>27</v>
      </c>
      <c r="J765" s="1">
        <v>1</v>
      </c>
      <c r="K765" s="1">
        <v>47.25</v>
      </c>
      <c r="L765" s="1">
        <v>10</v>
      </c>
      <c r="M765" s="16">
        <f t="shared" si="11"/>
        <v>42.524999999999999</v>
      </c>
      <c r="N765" s="1">
        <v>0</v>
      </c>
    </row>
    <row r="766" spans="1:14">
      <c r="A766" s="2">
        <v>45987</v>
      </c>
      <c r="B766" s="1">
        <v>1183</v>
      </c>
      <c r="C766" s="1">
        <v>101</v>
      </c>
      <c r="D766" s="1" t="s">
        <v>85</v>
      </c>
      <c r="E766" s="1" t="s">
        <v>25</v>
      </c>
      <c r="F766" s="1" t="s">
        <v>55</v>
      </c>
      <c r="G766" s="1">
        <v>4</v>
      </c>
      <c r="H766" s="1" t="s">
        <v>92</v>
      </c>
      <c r="I766" s="1" t="s">
        <v>21</v>
      </c>
      <c r="J766" s="1">
        <v>1</v>
      </c>
      <c r="K766" s="1">
        <v>34.83</v>
      </c>
      <c r="L766" s="1">
        <v>10</v>
      </c>
      <c r="M766" s="16">
        <f t="shared" si="11"/>
        <v>31.346999999999998</v>
      </c>
      <c r="N766" s="1">
        <v>0</v>
      </c>
    </row>
    <row r="767" spans="1:14">
      <c r="A767" s="2">
        <v>45989</v>
      </c>
      <c r="B767" s="1">
        <v>1194</v>
      </c>
      <c r="C767" s="1">
        <v>101</v>
      </c>
      <c r="D767" s="1" t="s">
        <v>85</v>
      </c>
      <c r="E767" s="1" t="s">
        <v>25</v>
      </c>
      <c r="F767" s="1" t="s">
        <v>55</v>
      </c>
      <c r="G767" s="1">
        <v>20</v>
      </c>
      <c r="H767" s="1" t="s">
        <v>16</v>
      </c>
      <c r="I767" s="1" t="s">
        <v>17</v>
      </c>
      <c r="J767" s="1">
        <v>2</v>
      </c>
      <c r="K767" s="1">
        <v>32.76</v>
      </c>
      <c r="L767" s="1">
        <v>5</v>
      </c>
      <c r="M767" s="16">
        <f t="shared" si="11"/>
        <v>62.243999999999993</v>
      </c>
      <c r="N767" s="1">
        <v>0</v>
      </c>
    </row>
    <row r="768" spans="1:14">
      <c r="A768" s="2">
        <v>45942</v>
      </c>
      <c r="B768" s="1">
        <v>1250</v>
      </c>
      <c r="C768" s="1">
        <v>101</v>
      </c>
      <c r="D768" s="1" t="s">
        <v>85</v>
      </c>
      <c r="E768" s="1" t="s">
        <v>25</v>
      </c>
      <c r="F768" s="1" t="s">
        <v>55</v>
      </c>
      <c r="G768" s="1">
        <v>31</v>
      </c>
      <c r="H768" s="1" t="s">
        <v>30</v>
      </c>
      <c r="I768" s="1" t="s">
        <v>31</v>
      </c>
      <c r="J768" s="1">
        <v>1</v>
      </c>
      <c r="K768" s="1">
        <v>57.51</v>
      </c>
      <c r="L768" s="1">
        <v>5.5</v>
      </c>
      <c r="M768" s="16">
        <f t="shared" si="11"/>
        <v>54.346949999999993</v>
      </c>
      <c r="N768" s="1">
        <v>0</v>
      </c>
    </row>
    <row r="769" spans="1:14">
      <c r="A769" s="2">
        <v>46013</v>
      </c>
      <c r="B769" s="1">
        <v>1312</v>
      </c>
      <c r="C769" s="1">
        <v>101</v>
      </c>
      <c r="D769" s="1" t="s">
        <v>85</v>
      </c>
      <c r="E769" s="1" t="s">
        <v>25</v>
      </c>
      <c r="F769" s="1" t="s">
        <v>55</v>
      </c>
      <c r="G769" s="1">
        <v>12</v>
      </c>
      <c r="H769" s="1" t="s">
        <v>215</v>
      </c>
      <c r="I769" s="1" t="s">
        <v>33</v>
      </c>
      <c r="J769" s="1">
        <v>1</v>
      </c>
      <c r="K769" s="1">
        <v>8.4499999999999993</v>
      </c>
      <c r="L769" s="1">
        <v>10</v>
      </c>
      <c r="M769" s="16">
        <f t="shared" si="11"/>
        <v>7.6049999999999995</v>
      </c>
      <c r="N769" s="1">
        <v>0</v>
      </c>
    </row>
    <row r="770" spans="1:14">
      <c r="A770" s="2">
        <v>46020</v>
      </c>
      <c r="B770" s="1">
        <v>1357</v>
      </c>
      <c r="C770" s="1">
        <v>101</v>
      </c>
      <c r="D770" s="1" t="s">
        <v>85</v>
      </c>
      <c r="E770" s="1" t="s">
        <v>25</v>
      </c>
      <c r="F770" s="1" t="s">
        <v>55</v>
      </c>
      <c r="G770" s="1">
        <v>30</v>
      </c>
      <c r="H770" s="1" t="s">
        <v>57</v>
      </c>
      <c r="I770" s="1" t="s">
        <v>31</v>
      </c>
      <c r="J770" s="1">
        <v>1</v>
      </c>
      <c r="K770" s="1">
        <v>41.49</v>
      </c>
      <c r="L770" s="1">
        <v>10</v>
      </c>
      <c r="M770" s="16">
        <f t="shared" si="11"/>
        <v>37.341000000000001</v>
      </c>
      <c r="N770" s="1">
        <v>0</v>
      </c>
    </row>
    <row r="771" spans="1:14">
      <c r="A771" s="2">
        <v>46020</v>
      </c>
      <c r="B771" s="1">
        <v>1357</v>
      </c>
      <c r="C771" s="1">
        <v>101</v>
      </c>
      <c r="D771" s="1" t="s">
        <v>85</v>
      </c>
      <c r="E771" s="1" t="s">
        <v>25</v>
      </c>
      <c r="F771" s="1" t="s">
        <v>55</v>
      </c>
      <c r="G771" s="1">
        <v>18</v>
      </c>
      <c r="H771" s="1" t="s">
        <v>23</v>
      </c>
      <c r="I771" s="1" t="s">
        <v>17</v>
      </c>
      <c r="J771" s="1">
        <v>1</v>
      </c>
      <c r="K771" s="1">
        <v>44.01</v>
      </c>
      <c r="L771" s="1">
        <v>0</v>
      </c>
      <c r="M771" s="16">
        <f t="shared" ref="M771:M834" si="12">J771*K771*(1-L771/100)</f>
        <v>44.01</v>
      </c>
      <c r="N771" s="1">
        <v>0</v>
      </c>
    </row>
    <row r="772" spans="1:14">
      <c r="A772" s="2">
        <v>46296</v>
      </c>
      <c r="B772" s="1">
        <v>1388</v>
      </c>
      <c r="C772" s="1">
        <v>101</v>
      </c>
      <c r="D772" s="1" t="s">
        <v>85</v>
      </c>
      <c r="E772" s="1" t="s">
        <v>25</v>
      </c>
      <c r="F772" s="1" t="s">
        <v>55</v>
      </c>
      <c r="G772" s="1">
        <v>38</v>
      </c>
      <c r="H772" s="1" t="s">
        <v>70</v>
      </c>
      <c r="I772" s="1" t="s">
        <v>27</v>
      </c>
      <c r="J772" s="1">
        <v>1</v>
      </c>
      <c r="K772" s="1">
        <v>25.14</v>
      </c>
      <c r="L772" s="1">
        <v>15</v>
      </c>
      <c r="M772" s="16">
        <f t="shared" si="12"/>
        <v>21.369</v>
      </c>
      <c r="N772" s="1">
        <v>0</v>
      </c>
    </row>
    <row r="773" spans="1:14">
      <c r="A773" s="2">
        <v>46074</v>
      </c>
      <c r="B773" s="1">
        <v>1516</v>
      </c>
      <c r="C773" s="1">
        <v>101</v>
      </c>
      <c r="D773" s="1" t="s">
        <v>85</v>
      </c>
      <c r="E773" s="1" t="s">
        <v>25</v>
      </c>
      <c r="F773" s="1" t="s">
        <v>55</v>
      </c>
      <c r="G773" s="1">
        <v>15</v>
      </c>
      <c r="H773" s="1" t="s">
        <v>48</v>
      </c>
      <c r="I773" s="1" t="s">
        <v>33</v>
      </c>
      <c r="J773" s="1">
        <v>1</v>
      </c>
      <c r="K773" s="1">
        <v>47.71</v>
      </c>
      <c r="L773" s="1">
        <v>0</v>
      </c>
      <c r="M773" s="16">
        <f t="shared" si="12"/>
        <v>47.71</v>
      </c>
      <c r="N773" s="1">
        <v>0</v>
      </c>
    </row>
    <row r="774" spans="1:14">
      <c r="A774" s="2">
        <v>46074</v>
      </c>
      <c r="B774" s="1">
        <v>1516</v>
      </c>
      <c r="C774" s="1">
        <v>101</v>
      </c>
      <c r="D774" s="1" t="s">
        <v>85</v>
      </c>
      <c r="E774" s="1" t="s">
        <v>25</v>
      </c>
      <c r="F774" s="1" t="s">
        <v>55</v>
      </c>
      <c r="G774" s="1">
        <v>38</v>
      </c>
      <c r="H774" s="1" t="s">
        <v>70</v>
      </c>
      <c r="I774" s="1" t="s">
        <v>27</v>
      </c>
      <c r="J774" s="1">
        <v>1</v>
      </c>
      <c r="K774" s="1">
        <v>25.14</v>
      </c>
      <c r="L774" s="1">
        <v>0</v>
      </c>
      <c r="M774" s="16">
        <f t="shared" si="12"/>
        <v>25.14</v>
      </c>
      <c r="N774" s="1">
        <v>0</v>
      </c>
    </row>
    <row r="775" spans="1:14">
      <c r="A775" s="2">
        <v>46296</v>
      </c>
      <c r="B775" s="1">
        <v>1388</v>
      </c>
      <c r="C775" s="1">
        <f>_xlfn.XLOOKUP(D775,'Customer Data'!B:B,'Customer Data'!A:A,"Not Found")</f>
        <v>101</v>
      </c>
      <c r="D775" s="1" t="s">
        <v>85</v>
      </c>
      <c r="E775" s="1" t="s">
        <v>25</v>
      </c>
      <c r="F775" s="1" t="s">
        <v>55</v>
      </c>
      <c r="G775" s="1">
        <v>35</v>
      </c>
      <c r="H775" s="1" t="s">
        <v>104</v>
      </c>
      <c r="I775" s="1" t="s">
        <v>27</v>
      </c>
      <c r="J775" s="1">
        <v>1</v>
      </c>
      <c r="K775" s="1">
        <v>11.3</v>
      </c>
      <c r="L775" s="1">
        <v>15</v>
      </c>
      <c r="M775" s="16">
        <f t="shared" si="12"/>
        <v>9.6050000000000004</v>
      </c>
      <c r="N775" s="1">
        <v>0</v>
      </c>
    </row>
    <row r="776" spans="1:14">
      <c r="A776" s="2">
        <v>45956</v>
      </c>
      <c r="B776" s="1">
        <v>1049</v>
      </c>
      <c r="C776" s="1">
        <v>102</v>
      </c>
      <c r="D776" s="1" t="s">
        <v>101</v>
      </c>
      <c r="E776" s="1" t="s">
        <v>14</v>
      </c>
      <c r="F776" s="1" t="s">
        <v>55</v>
      </c>
      <c r="G776" s="1">
        <v>2</v>
      </c>
      <c r="H776" s="1" t="s">
        <v>80</v>
      </c>
      <c r="I776" s="1" t="s">
        <v>21</v>
      </c>
      <c r="J776" s="1">
        <v>1</v>
      </c>
      <c r="K776" s="1">
        <v>64.02</v>
      </c>
      <c r="L776" s="1">
        <v>0</v>
      </c>
      <c r="M776" s="16">
        <f t="shared" si="12"/>
        <v>64.02</v>
      </c>
      <c r="N776" s="1">
        <v>0</v>
      </c>
    </row>
    <row r="777" spans="1:14">
      <c r="A777" s="2">
        <v>45850</v>
      </c>
      <c r="B777" s="1">
        <v>1236</v>
      </c>
      <c r="C777" s="1">
        <v>102</v>
      </c>
      <c r="D777" s="1" t="s">
        <v>101</v>
      </c>
      <c r="E777" s="1" t="s">
        <v>14</v>
      </c>
      <c r="F777" s="1" t="s">
        <v>55</v>
      </c>
      <c r="G777" s="1">
        <v>22</v>
      </c>
      <c r="H777" s="1" t="s">
        <v>75</v>
      </c>
      <c r="I777" s="1" t="s">
        <v>17</v>
      </c>
      <c r="J777" s="1">
        <v>1</v>
      </c>
      <c r="K777" s="1">
        <v>29.98</v>
      </c>
      <c r="L777" s="1">
        <v>5</v>
      </c>
      <c r="M777" s="16">
        <f t="shared" si="12"/>
        <v>28.480999999999998</v>
      </c>
      <c r="N777" s="1">
        <v>0</v>
      </c>
    </row>
    <row r="778" spans="1:14">
      <c r="A778" s="2">
        <v>45850</v>
      </c>
      <c r="B778" s="1">
        <v>1236</v>
      </c>
      <c r="C778" s="1">
        <v>102</v>
      </c>
      <c r="D778" s="1" t="s">
        <v>101</v>
      </c>
      <c r="E778" s="1" t="s">
        <v>14</v>
      </c>
      <c r="F778" s="1" t="s">
        <v>55</v>
      </c>
      <c r="G778" s="1">
        <v>19</v>
      </c>
      <c r="H778" s="1" t="s">
        <v>64</v>
      </c>
      <c r="I778" s="1" t="s">
        <v>139</v>
      </c>
      <c r="J778" s="1">
        <v>2</v>
      </c>
      <c r="K778" s="1">
        <v>50.14</v>
      </c>
      <c r="L778" s="1">
        <v>5</v>
      </c>
      <c r="M778" s="16">
        <f t="shared" si="12"/>
        <v>95.265999999999991</v>
      </c>
      <c r="N778" s="1">
        <v>1</v>
      </c>
    </row>
    <row r="779" spans="1:14">
      <c r="A779" s="2">
        <v>45850</v>
      </c>
      <c r="B779" s="1">
        <v>1236</v>
      </c>
      <c r="C779" s="1">
        <v>102</v>
      </c>
      <c r="D779" s="1" t="s">
        <v>101</v>
      </c>
      <c r="E779" s="1" t="s">
        <v>14</v>
      </c>
      <c r="F779" s="1" t="s">
        <v>55</v>
      </c>
      <c r="G779" s="1">
        <v>32</v>
      </c>
      <c r="H779" s="1" t="s">
        <v>103</v>
      </c>
      <c r="I779" s="1" t="s">
        <v>31</v>
      </c>
      <c r="J779" s="1">
        <v>1</v>
      </c>
      <c r="K779" s="1">
        <v>61.06</v>
      </c>
      <c r="L779" s="1">
        <v>5.5</v>
      </c>
      <c r="M779" s="16">
        <f t="shared" si="12"/>
        <v>57.701700000000002</v>
      </c>
      <c r="N779" s="1">
        <v>0</v>
      </c>
    </row>
    <row r="780" spans="1:14">
      <c r="A780" s="2">
        <v>46003</v>
      </c>
      <c r="B780" s="1">
        <v>1268</v>
      </c>
      <c r="C780" s="1">
        <v>102</v>
      </c>
      <c r="D780" s="1" t="s">
        <v>101</v>
      </c>
      <c r="E780" s="1" t="s">
        <v>14</v>
      </c>
      <c r="F780" s="1" t="s">
        <v>55</v>
      </c>
      <c r="G780" s="1">
        <v>15</v>
      </c>
      <c r="H780" s="1" t="s">
        <v>48</v>
      </c>
      <c r="I780" s="1" t="s">
        <v>33</v>
      </c>
      <c r="J780" s="1">
        <v>1</v>
      </c>
      <c r="K780" s="1">
        <v>47.71</v>
      </c>
      <c r="L780" s="1">
        <v>0</v>
      </c>
      <c r="M780" s="16">
        <f t="shared" si="12"/>
        <v>47.71</v>
      </c>
      <c r="N780" s="1">
        <v>0</v>
      </c>
    </row>
    <row r="781" spans="1:14">
      <c r="A781" s="2">
        <v>46018</v>
      </c>
      <c r="B781" s="1">
        <v>1340</v>
      </c>
      <c r="C781" s="1">
        <v>102</v>
      </c>
      <c r="D781" s="1" t="s">
        <v>101</v>
      </c>
      <c r="E781" s="1" t="s">
        <v>14</v>
      </c>
      <c r="F781" s="1" t="s">
        <v>55</v>
      </c>
      <c r="G781" s="1">
        <v>6</v>
      </c>
      <c r="H781" s="1" t="s">
        <v>99</v>
      </c>
      <c r="I781" s="1" t="s">
        <v>21</v>
      </c>
      <c r="J781" s="1">
        <v>1</v>
      </c>
      <c r="K781" s="1">
        <v>70.47</v>
      </c>
      <c r="L781" s="1">
        <v>5</v>
      </c>
      <c r="M781" s="16">
        <f t="shared" si="12"/>
        <v>66.9465</v>
      </c>
      <c r="N781" s="1">
        <v>0</v>
      </c>
    </row>
    <row r="782" spans="1:14">
      <c r="A782" s="2">
        <v>46143</v>
      </c>
      <c r="B782" s="1">
        <v>1373</v>
      </c>
      <c r="C782" s="1">
        <v>102</v>
      </c>
      <c r="D782" s="1" t="s">
        <v>101</v>
      </c>
      <c r="E782" s="1" t="s">
        <v>14</v>
      </c>
      <c r="F782" s="1" t="s">
        <v>55</v>
      </c>
      <c r="G782" s="1">
        <v>24</v>
      </c>
      <c r="H782" s="1" t="s">
        <v>44</v>
      </c>
      <c r="I782" s="1" t="s">
        <v>37</v>
      </c>
      <c r="J782" s="1">
        <v>1</v>
      </c>
      <c r="K782" s="1">
        <v>43.42</v>
      </c>
      <c r="L782" s="1">
        <v>5</v>
      </c>
      <c r="M782" s="16">
        <f t="shared" si="12"/>
        <v>41.249000000000002</v>
      </c>
      <c r="N782" s="1">
        <v>0</v>
      </c>
    </row>
    <row r="783" spans="1:14">
      <c r="A783" s="2">
        <v>46143</v>
      </c>
      <c r="B783" s="1">
        <v>1373</v>
      </c>
      <c r="C783" s="1">
        <v>102</v>
      </c>
      <c r="D783" s="1" t="s">
        <v>101</v>
      </c>
      <c r="E783" s="1" t="s">
        <v>14</v>
      </c>
      <c r="F783" s="1" t="s">
        <v>55</v>
      </c>
      <c r="G783" s="1">
        <v>17</v>
      </c>
      <c r="H783" s="1" t="s">
        <v>60</v>
      </c>
      <c r="I783" s="1" t="s">
        <v>17</v>
      </c>
      <c r="J783" s="1">
        <v>2</v>
      </c>
      <c r="K783" s="1">
        <v>6.61</v>
      </c>
      <c r="L783" s="1">
        <v>0</v>
      </c>
      <c r="M783" s="16">
        <f t="shared" si="12"/>
        <v>13.22</v>
      </c>
      <c r="N783" s="1">
        <v>0</v>
      </c>
    </row>
    <row r="784" spans="1:14">
      <c r="A784" s="2">
        <v>46266</v>
      </c>
      <c r="B784" s="1">
        <v>1383</v>
      </c>
      <c r="C784" s="1">
        <v>102</v>
      </c>
      <c r="D784" s="1" t="s">
        <v>101</v>
      </c>
      <c r="E784" s="1" t="s">
        <v>14</v>
      </c>
      <c r="F784" s="1" t="s">
        <v>55</v>
      </c>
      <c r="G784" s="1">
        <v>7</v>
      </c>
      <c r="H784" s="1" t="s">
        <v>46</v>
      </c>
      <c r="I784" s="1" t="s">
        <v>21</v>
      </c>
      <c r="J784" s="1">
        <v>1</v>
      </c>
      <c r="K784" s="1">
        <v>79.39</v>
      </c>
      <c r="L784" s="1">
        <v>0</v>
      </c>
      <c r="M784" s="16">
        <f t="shared" si="12"/>
        <v>79.39</v>
      </c>
      <c r="N784" s="1">
        <v>0</v>
      </c>
    </row>
    <row r="785" spans="1:14">
      <c r="A785" s="2">
        <v>46266</v>
      </c>
      <c r="B785" s="1">
        <v>1383</v>
      </c>
      <c r="C785" s="1">
        <v>102</v>
      </c>
      <c r="D785" s="1" t="s">
        <v>101</v>
      </c>
      <c r="E785" s="1" t="s">
        <v>14</v>
      </c>
      <c r="F785" s="1" t="s">
        <v>55</v>
      </c>
      <c r="G785" s="1">
        <v>21</v>
      </c>
      <c r="H785" s="1" t="s">
        <v>97</v>
      </c>
      <c r="I785" s="1" t="s">
        <v>17</v>
      </c>
      <c r="J785" s="1">
        <v>1</v>
      </c>
      <c r="K785" s="1">
        <v>49.37</v>
      </c>
      <c r="L785" s="1">
        <v>5</v>
      </c>
      <c r="M785" s="16">
        <f t="shared" si="12"/>
        <v>46.901499999999999</v>
      </c>
      <c r="N785" s="1">
        <v>0</v>
      </c>
    </row>
    <row r="786" spans="1:14">
      <c r="A786" s="2">
        <v>46357</v>
      </c>
      <c r="B786" s="1">
        <v>1399</v>
      </c>
      <c r="C786" s="1">
        <v>102</v>
      </c>
      <c r="D786" s="1" t="s">
        <v>101</v>
      </c>
      <c r="E786" s="1" t="s">
        <v>14</v>
      </c>
      <c r="F786" s="1" t="s">
        <v>55</v>
      </c>
      <c r="G786" s="1">
        <v>32</v>
      </c>
      <c r="H786" s="1" t="s">
        <v>103</v>
      </c>
      <c r="I786" s="1" t="s">
        <v>31</v>
      </c>
      <c r="J786" s="1">
        <v>2</v>
      </c>
      <c r="K786" s="1">
        <v>61.06</v>
      </c>
      <c r="L786" s="1">
        <v>0</v>
      </c>
      <c r="M786" s="16">
        <f t="shared" si="12"/>
        <v>122.12</v>
      </c>
      <c r="N786" s="1">
        <v>0</v>
      </c>
    </row>
    <row r="787" spans="1:14">
      <c r="A787" s="2">
        <v>46357</v>
      </c>
      <c r="B787" s="1">
        <v>1399</v>
      </c>
      <c r="C787" s="1">
        <v>102</v>
      </c>
      <c r="D787" s="1" t="s">
        <v>101</v>
      </c>
      <c r="E787" s="1" t="s">
        <v>14</v>
      </c>
      <c r="F787" s="1" t="s">
        <v>55</v>
      </c>
      <c r="G787" s="1">
        <v>23</v>
      </c>
      <c r="H787" s="1" t="s">
        <v>98</v>
      </c>
      <c r="I787" s="1" t="s">
        <v>37</v>
      </c>
      <c r="J787" s="1">
        <v>3</v>
      </c>
      <c r="K787" s="1">
        <v>38.14</v>
      </c>
      <c r="L787" s="1">
        <v>0</v>
      </c>
      <c r="M787" s="16">
        <f t="shared" si="12"/>
        <v>114.42</v>
      </c>
      <c r="N787" s="1">
        <v>0</v>
      </c>
    </row>
    <row r="788" spans="1:14">
      <c r="A788" s="2">
        <v>46357</v>
      </c>
      <c r="B788" s="1">
        <v>1399</v>
      </c>
      <c r="C788" s="1">
        <v>102</v>
      </c>
      <c r="D788" s="1" t="s">
        <v>101</v>
      </c>
      <c r="E788" s="1" t="s">
        <v>14</v>
      </c>
      <c r="F788" s="1" t="s">
        <v>55</v>
      </c>
      <c r="G788" s="1">
        <v>29</v>
      </c>
      <c r="H788" s="1" t="s">
        <v>96</v>
      </c>
      <c r="I788" s="1" t="s">
        <v>31</v>
      </c>
      <c r="J788" s="1">
        <v>2</v>
      </c>
      <c r="K788" s="1">
        <v>45.67</v>
      </c>
      <c r="L788" s="1">
        <v>5</v>
      </c>
      <c r="M788" s="16">
        <f t="shared" si="12"/>
        <v>86.772999999999996</v>
      </c>
      <c r="N788" s="1">
        <v>0</v>
      </c>
    </row>
    <row r="789" spans="1:14">
      <c r="A789" s="2">
        <v>46357</v>
      </c>
      <c r="B789" s="1">
        <v>1399</v>
      </c>
      <c r="C789" s="1">
        <v>102</v>
      </c>
      <c r="D789" s="1" t="s">
        <v>101</v>
      </c>
      <c r="E789" s="1" t="s">
        <v>14</v>
      </c>
      <c r="F789" s="1" t="s">
        <v>55</v>
      </c>
      <c r="G789" s="1">
        <v>7</v>
      </c>
      <c r="H789" s="1" t="s">
        <v>46</v>
      </c>
      <c r="I789" s="1" t="s">
        <v>21</v>
      </c>
      <c r="J789" s="1">
        <v>1</v>
      </c>
      <c r="K789" s="1">
        <v>79.39</v>
      </c>
      <c r="L789" s="1">
        <v>0</v>
      </c>
      <c r="M789" s="16">
        <f t="shared" si="12"/>
        <v>79.39</v>
      </c>
      <c r="N789" s="1">
        <v>0</v>
      </c>
    </row>
    <row r="790" spans="1:14">
      <c r="A790" s="2">
        <v>46048</v>
      </c>
      <c r="B790" s="1">
        <v>1432</v>
      </c>
      <c r="C790" s="1">
        <v>102</v>
      </c>
      <c r="D790" s="1" t="s">
        <v>101</v>
      </c>
      <c r="E790" s="1" t="s">
        <v>14</v>
      </c>
      <c r="F790" s="1" t="s">
        <v>55</v>
      </c>
      <c r="G790" s="1">
        <v>21</v>
      </c>
      <c r="H790" s="1" t="s">
        <v>97</v>
      </c>
      <c r="I790" s="1" t="s">
        <v>17</v>
      </c>
      <c r="J790" s="1">
        <v>1</v>
      </c>
      <c r="K790" s="1">
        <v>49.37</v>
      </c>
      <c r="L790" s="1">
        <v>15</v>
      </c>
      <c r="M790" s="16">
        <f t="shared" si="12"/>
        <v>41.964499999999994</v>
      </c>
      <c r="N790" s="1">
        <v>0</v>
      </c>
    </row>
    <row r="791" spans="1:14">
      <c r="A791" s="2">
        <v>46048</v>
      </c>
      <c r="B791" s="1">
        <v>1432</v>
      </c>
      <c r="C791" s="1">
        <v>102</v>
      </c>
      <c r="D791" s="1" t="s">
        <v>101</v>
      </c>
      <c r="E791" s="1" t="s">
        <v>14</v>
      </c>
      <c r="F791" s="1" t="s">
        <v>55</v>
      </c>
      <c r="G791" s="1">
        <v>8</v>
      </c>
      <c r="H791" s="1" t="s">
        <v>84</v>
      </c>
      <c r="I791" s="1" t="s">
        <v>21</v>
      </c>
      <c r="J791" s="1">
        <v>1</v>
      </c>
      <c r="K791" s="1">
        <v>16.72</v>
      </c>
      <c r="L791" s="1">
        <v>10</v>
      </c>
      <c r="M791" s="16">
        <f t="shared" si="12"/>
        <v>15.048</v>
      </c>
      <c r="N791" s="1">
        <v>0</v>
      </c>
    </row>
    <row r="792" spans="1:14">
      <c r="A792" s="2">
        <v>46328</v>
      </c>
      <c r="B792" s="1">
        <v>1475</v>
      </c>
      <c r="C792" s="1">
        <v>102</v>
      </c>
      <c r="D792" s="1" t="s">
        <v>101</v>
      </c>
      <c r="E792" s="1" t="s">
        <v>14</v>
      </c>
      <c r="F792" s="1" t="s">
        <v>55</v>
      </c>
      <c r="G792" s="1">
        <v>20</v>
      </c>
      <c r="H792" s="1" t="s">
        <v>16</v>
      </c>
      <c r="I792" s="1" t="s">
        <v>17</v>
      </c>
      <c r="J792" s="1">
        <v>1</v>
      </c>
      <c r="K792" s="1">
        <v>32.76</v>
      </c>
      <c r="L792" s="1">
        <v>25</v>
      </c>
      <c r="M792" s="16">
        <f t="shared" si="12"/>
        <v>24.57</v>
      </c>
      <c r="N792" s="1">
        <v>1</v>
      </c>
    </row>
    <row r="793" spans="1:14">
      <c r="A793" s="2">
        <v>46328</v>
      </c>
      <c r="B793" s="1">
        <v>1475</v>
      </c>
      <c r="C793" s="1">
        <v>102</v>
      </c>
      <c r="D793" s="1" t="s">
        <v>101</v>
      </c>
      <c r="E793" s="1" t="s">
        <v>14</v>
      </c>
      <c r="F793" s="1" t="s">
        <v>55</v>
      </c>
      <c r="G793" s="1">
        <v>1</v>
      </c>
      <c r="H793" s="1" t="s">
        <v>20</v>
      </c>
      <c r="I793" s="1" t="s">
        <v>21</v>
      </c>
      <c r="J793" s="1">
        <v>3</v>
      </c>
      <c r="K793" s="1">
        <v>47.45</v>
      </c>
      <c r="L793" s="1">
        <v>10</v>
      </c>
      <c r="M793" s="16">
        <f t="shared" si="12"/>
        <v>128.11500000000004</v>
      </c>
      <c r="N793" s="1">
        <v>0</v>
      </c>
    </row>
    <row r="794" spans="1:14">
      <c r="A794" s="2">
        <v>46071</v>
      </c>
      <c r="B794" s="1">
        <v>1499</v>
      </c>
      <c r="C794" s="1">
        <v>102</v>
      </c>
      <c r="D794" s="1" t="s">
        <v>101</v>
      </c>
      <c r="E794" s="1" t="s">
        <v>14</v>
      </c>
      <c r="F794" s="1" t="s">
        <v>55</v>
      </c>
      <c r="G794" s="1">
        <v>40</v>
      </c>
      <c r="H794" s="1" t="s">
        <v>53</v>
      </c>
      <c r="I794" s="1" t="s">
        <v>27</v>
      </c>
      <c r="J794" s="1">
        <v>1</v>
      </c>
      <c r="K794" s="1">
        <v>47.25</v>
      </c>
      <c r="L794" s="1">
        <v>0</v>
      </c>
      <c r="M794" s="16">
        <f t="shared" si="12"/>
        <v>47.25</v>
      </c>
      <c r="N794" s="1">
        <v>0</v>
      </c>
    </row>
    <row r="795" spans="1:14">
      <c r="A795" s="2">
        <v>46071</v>
      </c>
      <c r="B795" s="1">
        <v>1499</v>
      </c>
      <c r="C795" s="1">
        <v>102</v>
      </c>
      <c r="D795" s="1" t="s">
        <v>101</v>
      </c>
      <c r="E795" s="1" t="s">
        <v>14</v>
      </c>
      <c r="F795" s="1" t="s">
        <v>55</v>
      </c>
      <c r="G795" s="1">
        <v>8</v>
      </c>
      <c r="H795" s="1" t="s">
        <v>84</v>
      </c>
      <c r="I795" s="14" t="str">
        <f>_xlfn.XLOOKUP(H795,'Product Data'!$B$2:$B$100,'Product Data'!$C$2:$C$100,"Not Found")</f>
        <v>Apparel</v>
      </c>
      <c r="J795" s="1">
        <v>1</v>
      </c>
      <c r="K795" s="1">
        <v>16.72</v>
      </c>
      <c r="L795" s="1">
        <v>5</v>
      </c>
      <c r="M795" s="16">
        <f t="shared" si="12"/>
        <v>15.883999999999999</v>
      </c>
      <c r="N795" s="1">
        <v>0</v>
      </c>
    </row>
    <row r="796" spans="1:14">
      <c r="A796" s="2">
        <v>46071</v>
      </c>
      <c r="B796" s="1">
        <v>1499</v>
      </c>
      <c r="C796" s="1">
        <v>102</v>
      </c>
      <c r="D796" s="1" t="s">
        <v>101</v>
      </c>
      <c r="E796" s="1" t="s">
        <v>14</v>
      </c>
      <c r="F796" s="1" t="s">
        <v>55</v>
      </c>
      <c r="G796" s="1">
        <v>16</v>
      </c>
      <c r="H796" s="1" t="s">
        <v>77</v>
      </c>
      <c r="I796" s="1" t="s">
        <v>17</v>
      </c>
      <c r="J796" s="1">
        <v>1</v>
      </c>
      <c r="K796" s="1">
        <v>11.81</v>
      </c>
      <c r="L796" s="1">
        <v>5</v>
      </c>
      <c r="M796" s="16">
        <f t="shared" si="12"/>
        <v>11.2195</v>
      </c>
      <c r="N796" s="1">
        <v>0</v>
      </c>
    </row>
    <row r="797" spans="1:14">
      <c r="A797" s="2">
        <v>46071</v>
      </c>
      <c r="B797" s="1">
        <v>1499</v>
      </c>
      <c r="C797" s="1">
        <v>102</v>
      </c>
      <c r="D797" s="1" t="s">
        <v>101</v>
      </c>
      <c r="E797" s="1" t="s">
        <v>14</v>
      </c>
      <c r="F797" s="1" t="s">
        <v>55</v>
      </c>
      <c r="G797" s="1">
        <v>40</v>
      </c>
      <c r="H797" s="1" t="s">
        <v>53</v>
      </c>
      <c r="I797" s="1" t="s">
        <v>27</v>
      </c>
      <c r="J797" s="1">
        <v>1</v>
      </c>
      <c r="K797" s="1">
        <v>47.25</v>
      </c>
      <c r="L797" s="1">
        <v>0</v>
      </c>
      <c r="M797" s="16">
        <f t="shared" si="12"/>
        <v>47.25</v>
      </c>
      <c r="N797" s="1">
        <v>0</v>
      </c>
    </row>
    <row r="798" spans="1:14">
      <c r="A798" s="2">
        <v>45947</v>
      </c>
      <c r="B798" s="1">
        <v>1020</v>
      </c>
      <c r="C798" s="1">
        <v>103</v>
      </c>
      <c r="D798" s="1" t="s">
        <v>63</v>
      </c>
      <c r="E798" s="1" t="s">
        <v>25</v>
      </c>
      <c r="F798" s="1" t="s">
        <v>41</v>
      </c>
      <c r="G798" s="1">
        <v>19</v>
      </c>
      <c r="H798" s="1" t="s">
        <v>64</v>
      </c>
      <c r="I798" s="1" t="s">
        <v>17</v>
      </c>
      <c r="J798" s="1">
        <v>1</v>
      </c>
      <c r="K798" s="1">
        <v>50.14</v>
      </c>
      <c r="L798" s="1">
        <v>5</v>
      </c>
      <c r="M798" s="16">
        <f t="shared" si="12"/>
        <v>47.632999999999996</v>
      </c>
      <c r="N798" s="1">
        <v>0</v>
      </c>
    </row>
    <row r="799" spans="1:14">
      <c r="A799" s="2">
        <v>45947</v>
      </c>
      <c r="B799" s="1">
        <v>1020</v>
      </c>
      <c r="C799" s="1">
        <v>103</v>
      </c>
      <c r="D799" s="1" t="s">
        <v>63</v>
      </c>
      <c r="E799" s="1" t="s">
        <v>25</v>
      </c>
      <c r="F799" s="1" t="s">
        <v>41</v>
      </c>
      <c r="G799" s="1">
        <v>11</v>
      </c>
      <c r="H799" s="1" t="s">
        <v>65</v>
      </c>
      <c r="I799" s="1" t="s">
        <v>33</v>
      </c>
      <c r="J799" s="1">
        <v>1</v>
      </c>
      <c r="K799" s="1">
        <v>58.35</v>
      </c>
      <c r="L799" s="1">
        <v>10</v>
      </c>
      <c r="M799" s="16">
        <f t="shared" si="12"/>
        <v>52.515000000000001</v>
      </c>
      <c r="N799" s="1">
        <v>0</v>
      </c>
    </row>
    <row r="800" spans="1:14">
      <c r="A800" s="2">
        <v>45668</v>
      </c>
      <c r="B800" s="1">
        <v>1070</v>
      </c>
      <c r="C800" s="1">
        <v>103</v>
      </c>
      <c r="D800" s="1" t="s">
        <v>63</v>
      </c>
      <c r="E800" s="1" t="s">
        <v>25</v>
      </c>
      <c r="F800" s="1" t="s">
        <v>41</v>
      </c>
      <c r="G800" s="1">
        <v>5</v>
      </c>
      <c r="H800" s="1" t="s">
        <v>38</v>
      </c>
      <c r="I800" s="1" t="s">
        <v>21</v>
      </c>
      <c r="J800" s="1">
        <v>1</v>
      </c>
      <c r="K800" s="1">
        <v>42.53</v>
      </c>
      <c r="L800" s="1">
        <v>5</v>
      </c>
      <c r="M800" s="16">
        <f t="shared" si="12"/>
        <v>40.403500000000001</v>
      </c>
      <c r="N800" s="1">
        <v>0</v>
      </c>
    </row>
    <row r="801" spans="1:14">
      <c r="A801" s="2">
        <v>45911</v>
      </c>
      <c r="B801" s="1">
        <v>1102</v>
      </c>
      <c r="C801" s="1">
        <v>103</v>
      </c>
      <c r="D801" s="1" t="s">
        <v>63</v>
      </c>
      <c r="E801" s="1" t="s">
        <v>25</v>
      </c>
      <c r="F801" s="1" t="s">
        <v>41</v>
      </c>
      <c r="G801" s="1">
        <v>33</v>
      </c>
      <c r="H801" s="1" t="s">
        <v>42</v>
      </c>
      <c r="I801" s="1" t="s">
        <v>31</v>
      </c>
      <c r="J801" s="1">
        <v>1</v>
      </c>
      <c r="K801" s="1">
        <v>40.94</v>
      </c>
      <c r="L801" s="1">
        <v>5</v>
      </c>
      <c r="M801" s="16">
        <f t="shared" si="12"/>
        <v>38.892999999999994</v>
      </c>
      <c r="N801" s="1">
        <v>0</v>
      </c>
    </row>
    <row r="802" spans="1:14">
      <c r="A802" s="2">
        <v>45941</v>
      </c>
      <c r="B802" s="1">
        <v>1106</v>
      </c>
      <c r="C802" s="1">
        <v>103</v>
      </c>
      <c r="D802" s="1" t="s">
        <v>63</v>
      </c>
      <c r="E802" s="1" t="s">
        <v>25</v>
      </c>
      <c r="F802" s="1" t="s">
        <v>41</v>
      </c>
      <c r="G802" s="1">
        <v>4</v>
      </c>
      <c r="H802" s="1" t="s">
        <v>92</v>
      </c>
      <c r="I802" s="1" t="s">
        <v>21</v>
      </c>
      <c r="J802" s="1">
        <v>2</v>
      </c>
      <c r="K802" s="1">
        <v>34.83</v>
      </c>
      <c r="L802" s="1">
        <v>25</v>
      </c>
      <c r="M802" s="16">
        <f t="shared" si="12"/>
        <v>52.244999999999997</v>
      </c>
      <c r="N802" s="1">
        <v>0</v>
      </c>
    </row>
    <row r="803" spans="1:14">
      <c r="A803" s="2">
        <v>45979</v>
      </c>
      <c r="B803" s="1">
        <v>1148</v>
      </c>
      <c r="C803" s="1">
        <v>103</v>
      </c>
      <c r="D803" s="1" t="s">
        <v>63</v>
      </c>
      <c r="E803" s="1" t="s">
        <v>25</v>
      </c>
      <c r="F803" s="1" t="s">
        <v>41</v>
      </c>
      <c r="G803" s="1">
        <v>40</v>
      </c>
      <c r="H803" s="1" t="s">
        <v>53</v>
      </c>
      <c r="I803" s="1" t="s">
        <v>27</v>
      </c>
      <c r="J803" s="1">
        <v>3</v>
      </c>
      <c r="K803" s="1">
        <v>38.869999999999997</v>
      </c>
      <c r="L803" s="1">
        <v>0</v>
      </c>
      <c r="M803" s="16">
        <f t="shared" si="12"/>
        <v>116.60999999999999</v>
      </c>
      <c r="N803" s="1">
        <v>0</v>
      </c>
    </row>
    <row r="804" spans="1:14">
      <c r="A804" s="2">
        <v>45979</v>
      </c>
      <c r="B804" s="1">
        <v>1148</v>
      </c>
      <c r="C804" s="1">
        <v>103</v>
      </c>
      <c r="D804" s="1" t="s">
        <v>63</v>
      </c>
      <c r="E804" s="1" t="s">
        <v>25</v>
      </c>
      <c r="F804" s="1" t="s">
        <v>41</v>
      </c>
      <c r="G804" s="1">
        <v>7</v>
      </c>
      <c r="H804" s="1" t="s">
        <v>46</v>
      </c>
      <c r="I804" s="1" t="s">
        <v>21</v>
      </c>
      <c r="J804" s="1">
        <v>1</v>
      </c>
      <c r="K804" s="1">
        <v>79.39</v>
      </c>
      <c r="L804" s="1">
        <v>0</v>
      </c>
      <c r="M804" s="16">
        <f t="shared" si="12"/>
        <v>79.39</v>
      </c>
      <c r="N804" s="1">
        <v>0</v>
      </c>
    </row>
    <row r="805" spans="1:14">
      <c r="A805" s="2">
        <v>45984</v>
      </c>
      <c r="B805" s="1">
        <v>1170</v>
      </c>
      <c r="C805" s="1">
        <v>103</v>
      </c>
      <c r="D805" s="1" t="s">
        <v>63</v>
      </c>
      <c r="E805" s="1" t="s">
        <v>25</v>
      </c>
      <c r="F805" s="1" t="s">
        <v>41</v>
      </c>
      <c r="G805" s="1">
        <v>17</v>
      </c>
      <c r="H805" s="1" t="s">
        <v>60</v>
      </c>
      <c r="I805" s="1" t="s">
        <v>17</v>
      </c>
      <c r="J805" s="1">
        <v>1</v>
      </c>
      <c r="K805" s="1">
        <v>6.61</v>
      </c>
      <c r="L805" s="1">
        <v>0</v>
      </c>
      <c r="M805" s="16">
        <f t="shared" si="12"/>
        <v>6.61</v>
      </c>
      <c r="N805" s="1">
        <v>0</v>
      </c>
    </row>
    <row r="806" spans="1:14">
      <c r="A806" s="2">
        <v>45984</v>
      </c>
      <c r="B806" s="1">
        <v>1170</v>
      </c>
      <c r="C806" s="1">
        <v>103</v>
      </c>
      <c r="D806" s="1" t="s">
        <v>63</v>
      </c>
      <c r="E806" s="1" t="s">
        <v>25</v>
      </c>
      <c r="F806" s="1" t="s">
        <v>41</v>
      </c>
      <c r="G806" s="1">
        <v>29</v>
      </c>
      <c r="H806" s="1" t="s">
        <v>96</v>
      </c>
      <c r="I806" s="1" t="s">
        <v>31</v>
      </c>
      <c r="J806" s="1">
        <v>1</v>
      </c>
      <c r="K806" s="1">
        <v>45.67</v>
      </c>
      <c r="L806" s="1">
        <v>5</v>
      </c>
      <c r="M806" s="16">
        <f t="shared" si="12"/>
        <v>43.386499999999998</v>
      </c>
      <c r="N806" s="1">
        <v>0</v>
      </c>
    </row>
    <row r="807" spans="1:14">
      <c r="A807" s="2">
        <v>45984</v>
      </c>
      <c r="B807" s="1">
        <v>1170</v>
      </c>
      <c r="C807" s="1">
        <v>103</v>
      </c>
      <c r="D807" s="1" t="s">
        <v>63</v>
      </c>
      <c r="E807" s="1" t="s">
        <v>25</v>
      </c>
      <c r="F807" s="1" t="s">
        <v>41</v>
      </c>
      <c r="G807" s="1">
        <v>16</v>
      </c>
      <c r="H807" s="1" t="s">
        <v>77</v>
      </c>
      <c r="I807" s="1" t="s">
        <v>17</v>
      </c>
      <c r="J807" s="1">
        <v>1</v>
      </c>
      <c r="K807" s="1">
        <v>11.81</v>
      </c>
      <c r="L807" s="1">
        <v>10</v>
      </c>
      <c r="M807" s="16">
        <f t="shared" si="12"/>
        <v>10.629000000000001</v>
      </c>
      <c r="N807" s="1">
        <v>0</v>
      </c>
    </row>
    <row r="808" spans="1:14">
      <c r="A808" s="2">
        <v>45984</v>
      </c>
      <c r="B808" s="1">
        <v>1170</v>
      </c>
      <c r="C808" s="1">
        <v>103</v>
      </c>
      <c r="D808" s="1" t="s">
        <v>63</v>
      </c>
      <c r="E808" s="1" t="s">
        <v>25</v>
      </c>
      <c r="F808" s="1" t="s">
        <v>41</v>
      </c>
      <c r="G808" s="1">
        <v>20</v>
      </c>
      <c r="H808" s="1" t="s">
        <v>16</v>
      </c>
      <c r="I808" s="1" t="s">
        <v>17</v>
      </c>
      <c r="J808" s="1">
        <v>1</v>
      </c>
      <c r="K808" s="1">
        <v>32.76</v>
      </c>
      <c r="L808" s="1">
        <v>5.5</v>
      </c>
      <c r="M808" s="16">
        <f t="shared" si="12"/>
        <v>30.958199999999998</v>
      </c>
      <c r="N808" s="1">
        <v>0</v>
      </c>
    </row>
    <row r="809" spans="1:14">
      <c r="A809" s="2">
        <v>45986</v>
      </c>
      <c r="B809" s="1">
        <v>1177</v>
      </c>
      <c r="C809" s="1">
        <v>103</v>
      </c>
      <c r="D809" s="1" t="s">
        <v>63</v>
      </c>
      <c r="E809" s="1" t="s">
        <v>25</v>
      </c>
      <c r="F809" s="1" t="s">
        <v>41</v>
      </c>
      <c r="G809" s="1">
        <v>13</v>
      </c>
      <c r="H809" s="1" t="s">
        <v>45</v>
      </c>
      <c r="I809" s="1" t="s">
        <v>33</v>
      </c>
      <c r="J809" s="1">
        <v>1</v>
      </c>
      <c r="K809" s="1">
        <v>54.9</v>
      </c>
      <c r="L809" s="1">
        <v>0</v>
      </c>
      <c r="M809" s="16">
        <f t="shared" si="12"/>
        <v>54.9</v>
      </c>
      <c r="N809" s="1">
        <v>0</v>
      </c>
    </row>
    <row r="810" spans="1:14">
      <c r="A810" s="2">
        <v>45669</v>
      </c>
      <c r="B810" s="1">
        <v>1210</v>
      </c>
      <c r="C810" s="1">
        <v>103</v>
      </c>
      <c r="D810" s="1" t="s">
        <v>63</v>
      </c>
      <c r="E810" s="1" t="s">
        <v>25</v>
      </c>
      <c r="F810" s="1" t="s">
        <v>41</v>
      </c>
      <c r="G810" s="1">
        <v>10</v>
      </c>
      <c r="H810" s="1" t="s">
        <v>32</v>
      </c>
      <c r="I810" s="1" t="s">
        <v>33</v>
      </c>
      <c r="J810" s="1">
        <v>3</v>
      </c>
      <c r="K810" s="1">
        <v>62.68</v>
      </c>
      <c r="L810" s="1">
        <v>0</v>
      </c>
      <c r="M810" s="16">
        <f t="shared" si="12"/>
        <v>188.04</v>
      </c>
      <c r="N810" s="1">
        <v>0</v>
      </c>
    </row>
    <row r="811" spans="1:14">
      <c r="A811" s="2">
        <v>46004</v>
      </c>
      <c r="B811" s="1">
        <v>1272</v>
      </c>
      <c r="C811" s="1">
        <v>103</v>
      </c>
      <c r="D811" s="1" t="s">
        <v>63</v>
      </c>
      <c r="E811" s="1" t="s">
        <v>25</v>
      </c>
      <c r="F811" s="1" t="s">
        <v>41</v>
      </c>
      <c r="G811" s="1">
        <v>4</v>
      </c>
      <c r="H811" s="1" t="s">
        <v>92</v>
      </c>
      <c r="I811" s="1" t="s">
        <v>21</v>
      </c>
      <c r="J811" s="1">
        <v>1</v>
      </c>
      <c r="K811" s="1">
        <v>34.83</v>
      </c>
      <c r="L811" s="1">
        <v>20</v>
      </c>
      <c r="M811" s="16">
        <f t="shared" si="12"/>
        <v>27.864000000000001</v>
      </c>
      <c r="N811" s="1">
        <v>0</v>
      </c>
    </row>
    <row r="812" spans="1:14">
      <c r="A812" s="2">
        <v>46008</v>
      </c>
      <c r="B812" s="1">
        <v>1291</v>
      </c>
      <c r="C812" s="1">
        <v>103</v>
      </c>
      <c r="D812" s="1" t="s">
        <v>63</v>
      </c>
      <c r="E812" s="1" t="s">
        <v>25</v>
      </c>
      <c r="F812" s="1" t="s">
        <v>41</v>
      </c>
      <c r="G812" s="1">
        <v>23</v>
      </c>
      <c r="H812" s="1" t="s">
        <v>98</v>
      </c>
      <c r="I812" s="1" t="s">
        <v>37</v>
      </c>
      <c r="J812" s="1">
        <v>2</v>
      </c>
      <c r="K812" s="1">
        <v>38.14</v>
      </c>
      <c r="L812" s="1">
        <v>0</v>
      </c>
      <c r="M812" s="16">
        <f t="shared" si="12"/>
        <v>76.28</v>
      </c>
      <c r="N812" s="1">
        <v>0</v>
      </c>
    </row>
    <row r="813" spans="1:14">
      <c r="A813" s="2">
        <v>46008</v>
      </c>
      <c r="B813" s="1">
        <v>1291</v>
      </c>
      <c r="C813" s="1">
        <v>103</v>
      </c>
      <c r="D813" s="1" t="s">
        <v>63</v>
      </c>
      <c r="E813" s="1" t="s">
        <v>25</v>
      </c>
      <c r="F813" s="1" t="s">
        <v>41</v>
      </c>
      <c r="G813" s="1">
        <v>15</v>
      </c>
      <c r="H813" s="1" t="s">
        <v>48</v>
      </c>
      <c r="I813" s="1" t="s">
        <v>33</v>
      </c>
      <c r="J813" s="1">
        <v>1</v>
      </c>
      <c r="K813" s="1">
        <v>47.71</v>
      </c>
      <c r="L813" s="1">
        <v>10</v>
      </c>
      <c r="M813" s="16">
        <f t="shared" si="12"/>
        <v>42.939</v>
      </c>
      <c r="N813" s="1">
        <v>0</v>
      </c>
    </row>
    <row r="814" spans="1:14">
      <c r="A814" s="2">
        <v>46008</v>
      </c>
      <c r="B814" s="1">
        <v>1291</v>
      </c>
      <c r="C814" s="1">
        <v>103</v>
      </c>
      <c r="D814" s="1" t="s">
        <v>63</v>
      </c>
      <c r="E814" s="1" t="s">
        <v>25</v>
      </c>
      <c r="F814" s="1" t="s">
        <v>41</v>
      </c>
      <c r="G814" s="1">
        <v>34</v>
      </c>
      <c r="H814" s="1" t="s">
        <v>130</v>
      </c>
      <c r="I814" s="1" t="s">
        <v>31</v>
      </c>
      <c r="J814" s="1">
        <v>1</v>
      </c>
      <c r="K814" s="1">
        <v>58.26</v>
      </c>
      <c r="L814" s="1">
        <v>5</v>
      </c>
      <c r="M814" s="16">
        <f t="shared" si="12"/>
        <v>55.346999999999994</v>
      </c>
      <c r="N814" s="1">
        <v>0</v>
      </c>
    </row>
    <row r="815" spans="1:14">
      <c r="A815" s="2">
        <v>46012</v>
      </c>
      <c r="B815" s="1">
        <v>1304</v>
      </c>
      <c r="C815" s="1">
        <v>103</v>
      </c>
      <c r="D815" s="1" t="s">
        <v>63</v>
      </c>
      <c r="E815" s="1" t="s">
        <v>25</v>
      </c>
      <c r="F815" s="1" t="s">
        <v>41</v>
      </c>
      <c r="G815" s="1">
        <v>32</v>
      </c>
      <c r="H815" s="1" t="s">
        <v>103</v>
      </c>
      <c r="I815" s="1" t="s">
        <v>31</v>
      </c>
      <c r="J815" s="1">
        <v>1</v>
      </c>
      <c r="K815" s="1">
        <v>61.06</v>
      </c>
      <c r="L815" s="1">
        <v>5</v>
      </c>
      <c r="M815" s="16">
        <f t="shared" si="12"/>
        <v>58.006999999999998</v>
      </c>
      <c r="N815" s="1">
        <v>0</v>
      </c>
    </row>
    <row r="816" spans="1:14">
      <c r="A816" s="2">
        <v>46017</v>
      </c>
      <c r="B816" s="1">
        <v>1333</v>
      </c>
      <c r="C816" s="1">
        <v>103</v>
      </c>
      <c r="D816" s="1" t="s">
        <v>63</v>
      </c>
      <c r="E816" s="1" t="s">
        <v>25</v>
      </c>
      <c r="F816" s="1" t="s">
        <v>41</v>
      </c>
      <c r="G816" s="1">
        <v>16</v>
      </c>
      <c r="H816" s="1" t="str">
        <f>IF(I816="Apparel","Joggers",IF(I816="Beauty","Vitamin C Serum",IF(I816="Electronics","Wireless Earbuds",IF(I816="Home","LED Lamp",IF(I816="Sports","Water Bottle",IF(I816="Toys","RC Car",""))))))</f>
        <v>LED Lamp</v>
      </c>
      <c r="I816" s="1" t="s">
        <v>17</v>
      </c>
      <c r="J816" s="1">
        <v>1</v>
      </c>
      <c r="K816" s="1">
        <v>11.81</v>
      </c>
      <c r="L816" s="1">
        <v>10</v>
      </c>
      <c r="M816" s="16">
        <f t="shared" si="12"/>
        <v>10.629000000000001</v>
      </c>
      <c r="N816" s="1">
        <v>0</v>
      </c>
    </row>
    <row r="817" spans="1:14">
      <c r="A817" s="2">
        <v>46017</v>
      </c>
      <c r="B817" s="1">
        <v>1333</v>
      </c>
      <c r="C817" s="1">
        <v>103</v>
      </c>
      <c r="D817" s="1" t="s">
        <v>63</v>
      </c>
      <c r="E817" s="1" t="s">
        <v>25</v>
      </c>
      <c r="F817" s="1" t="s">
        <v>41</v>
      </c>
      <c r="G817" s="1">
        <v>10</v>
      </c>
      <c r="H817" s="1" t="s">
        <v>32</v>
      </c>
      <c r="I817" s="1" t="s">
        <v>33</v>
      </c>
      <c r="J817" s="1">
        <v>1</v>
      </c>
      <c r="K817" s="1">
        <v>62.68</v>
      </c>
      <c r="L817" s="1">
        <v>15</v>
      </c>
      <c r="M817" s="16">
        <f t="shared" si="12"/>
        <v>53.277999999999999</v>
      </c>
      <c r="N817" s="1">
        <v>0</v>
      </c>
    </row>
    <row r="818" spans="1:14">
      <c r="A818" s="2">
        <v>46050</v>
      </c>
      <c r="B818" s="1">
        <v>1437</v>
      </c>
      <c r="C818" s="1">
        <v>103</v>
      </c>
      <c r="D818" s="1" t="s">
        <v>63</v>
      </c>
      <c r="E818" s="1" t="s">
        <v>25</v>
      </c>
      <c r="F818" s="1" t="s">
        <v>41</v>
      </c>
      <c r="G818" s="1">
        <v>13</v>
      </c>
      <c r="H818" s="1" t="s">
        <v>45</v>
      </c>
      <c r="I818" s="1" t="s">
        <v>33</v>
      </c>
      <c r="J818" s="1">
        <v>1</v>
      </c>
      <c r="K818" s="1">
        <v>54.9</v>
      </c>
      <c r="L818" s="1">
        <v>5</v>
      </c>
      <c r="M818" s="16">
        <f t="shared" si="12"/>
        <v>52.154999999999994</v>
      </c>
      <c r="N818" s="1">
        <v>0</v>
      </c>
    </row>
    <row r="819" spans="1:14">
      <c r="A819" s="2">
        <v>46016</v>
      </c>
      <c r="B819" s="1">
        <v>1464</v>
      </c>
      <c r="C819" s="1">
        <v>103</v>
      </c>
      <c r="D819" s="1" t="s">
        <v>63</v>
      </c>
      <c r="E819" s="1" t="s">
        <v>25</v>
      </c>
      <c r="F819" s="1" t="s">
        <v>41</v>
      </c>
      <c r="G819" s="1">
        <v>29</v>
      </c>
      <c r="H819" s="1" t="s">
        <v>96</v>
      </c>
      <c r="I819" s="1" t="s">
        <v>31</v>
      </c>
      <c r="J819" s="1">
        <v>2</v>
      </c>
      <c r="K819" s="1">
        <v>45.67</v>
      </c>
      <c r="L819" s="1">
        <v>0</v>
      </c>
      <c r="M819" s="16">
        <f t="shared" si="12"/>
        <v>91.34</v>
      </c>
      <c r="N819" s="1">
        <v>0</v>
      </c>
    </row>
    <row r="820" spans="1:14">
      <c r="A820" s="2">
        <v>46205</v>
      </c>
      <c r="B820" s="1">
        <v>1464</v>
      </c>
      <c r="C820" s="1">
        <v>103</v>
      </c>
      <c r="D820" s="1" t="s">
        <v>63</v>
      </c>
      <c r="E820" s="1" t="s">
        <v>25</v>
      </c>
      <c r="F820" s="1" t="s">
        <v>41</v>
      </c>
      <c r="G820" s="1">
        <v>39</v>
      </c>
      <c r="H820" s="1" t="s">
        <v>36</v>
      </c>
      <c r="I820" s="1" t="s">
        <v>27</v>
      </c>
      <c r="J820" s="1">
        <v>1</v>
      </c>
      <c r="K820" s="1">
        <v>39.979999999999997</v>
      </c>
      <c r="L820" s="1">
        <v>0</v>
      </c>
      <c r="M820" s="16">
        <f t="shared" si="12"/>
        <v>39.979999999999997</v>
      </c>
      <c r="N820" s="1">
        <v>0</v>
      </c>
    </row>
    <row r="821" spans="1:14">
      <c r="A821" s="2">
        <v>46068</v>
      </c>
      <c r="B821" s="1">
        <v>1490</v>
      </c>
      <c r="C821" s="1">
        <v>103</v>
      </c>
      <c r="D821" s="1" t="s">
        <v>63</v>
      </c>
      <c r="E821" s="1" t="s">
        <v>25</v>
      </c>
      <c r="F821" s="1" t="s">
        <v>41</v>
      </c>
      <c r="G821" s="1">
        <v>28</v>
      </c>
      <c r="H821" s="1" t="s">
        <v>51</v>
      </c>
      <c r="I821" s="1" t="s">
        <v>37</v>
      </c>
      <c r="J821" s="1">
        <v>1</v>
      </c>
      <c r="K821" s="1">
        <v>21.24</v>
      </c>
      <c r="L821" s="1">
        <v>20</v>
      </c>
      <c r="M821" s="16">
        <f t="shared" si="12"/>
        <v>16.992000000000001</v>
      </c>
      <c r="N821" s="1">
        <v>0</v>
      </c>
    </row>
    <row r="822" spans="1:14">
      <c r="A822" s="2">
        <v>46068</v>
      </c>
      <c r="B822" s="1">
        <v>1490</v>
      </c>
      <c r="C822" s="1">
        <v>103</v>
      </c>
      <c r="D822" s="1" t="s">
        <v>63</v>
      </c>
      <c r="E822" s="1" t="s">
        <v>25</v>
      </c>
      <c r="F822" s="1" t="s">
        <v>41</v>
      </c>
      <c r="G822" s="1">
        <v>33</v>
      </c>
      <c r="H822" s="1" t="s">
        <v>42</v>
      </c>
      <c r="I822" s="1" t="s">
        <v>31</v>
      </c>
      <c r="J822" s="1">
        <v>1</v>
      </c>
      <c r="K822" s="1">
        <v>40.94</v>
      </c>
      <c r="L822" s="1">
        <v>15</v>
      </c>
      <c r="M822" s="16">
        <f t="shared" si="12"/>
        <v>34.798999999999999</v>
      </c>
      <c r="N822" s="1">
        <v>0</v>
      </c>
    </row>
    <row r="823" spans="1:14">
      <c r="A823" s="2">
        <v>46068</v>
      </c>
      <c r="B823" s="1">
        <v>1490</v>
      </c>
      <c r="C823" s="1">
        <v>103</v>
      </c>
      <c r="D823" s="1" t="s">
        <v>63</v>
      </c>
      <c r="E823" s="1" t="s">
        <v>25</v>
      </c>
      <c r="F823" s="1" t="s">
        <v>41</v>
      </c>
      <c r="G823" s="1">
        <v>11</v>
      </c>
      <c r="H823" s="1" t="s">
        <v>65</v>
      </c>
      <c r="I823" s="1" t="s">
        <v>33</v>
      </c>
      <c r="J823" s="1">
        <v>1</v>
      </c>
      <c r="K823" s="1">
        <v>58.35</v>
      </c>
      <c r="L823" s="1">
        <v>25</v>
      </c>
      <c r="M823" s="16">
        <f t="shared" si="12"/>
        <v>43.762500000000003</v>
      </c>
      <c r="N823" s="1">
        <v>0</v>
      </c>
    </row>
    <row r="824" spans="1:14">
      <c r="A824" s="2">
        <v>46068</v>
      </c>
      <c r="B824" s="1">
        <v>1490</v>
      </c>
      <c r="C824" s="1">
        <v>103</v>
      </c>
      <c r="D824" s="1" t="s">
        <v>63</v>
      </c>
      <c r="E824" s="1" t="s">
        <v>25</v>
      </c>
      <c r="F824" s="1" t="s">
        <v>41</v>
      </c>
      <c r="G824" s="1">
        <v>1</v>
      </c>
      <c r="H824" s="1" t="s">
        <v>20</v>
      </c>
      <c r="I824" s="1" t="s">
        <v>21</v>
      </c>
      <c r="J824" s="1">
        <v>1</v>
      </c>
      <c r="K824" s="1">
        <v>38.869999999999997</v>
      </c>
      <c r="L824" s="1">
        <v>10</v>
      </c>
      <c r="M824" s="16">
        <f t="shared" si="12"/>
        <v>34.982999999999997</v>
      </c>
      <c r="N824" s="1">
        <v>0</v>
      </c>
    </row>
    <row r="825" spans="1:14">
      <c r="A825" s="2">
        <v>46070</v>
      </c>
      <c r="B825" s="1">
        <v>1496</v>
      </c>
      <c r="C825" s="1">
        <v>103</v>
      </c>
      <c r="D825" s="1" t="s">
        <v>63</v>
      </c>
      <c r="E825" s="1" t="s">
        <v>25</v>
      </c>
      <c r="F825" s="1" t="s">
        <v>41</v>
      </c>
      <c r="G825" s="1">
        <v>31</v>
      </c>
      <c r="H825" s="1" t="s">
        <v>30</v>
      </c>
      <c r="I825" s="1" t="s">
        <v>31</v>
      </c>
      <c r="J825" s="1">
        <v>1</v>
      </c>
      <c r="K825" s="1">
        <v>57.51</v>
      </c>
      <c r="L825" s="1">
        <v>5</v>
      </c>
      <c r="M825" s="16">
        <f t="shared" si="12"/>
        <v>54.634499999999996</v>
      </c>
      <c r="N825" s="1">
        <v>0</v>
      </c>
    </row>
    <row r="826" spans="1:14">
      <c r="A826" s="2">
        <v>46080</v>
      </c>
      <c r="B826" s="1">
        <v>1538</v>
      </c>
      <c r="C826" s="1">
        <v>103</v>
      </c>
      <c r="D826" s="1" t="s">
        <v>63</v>
      </c>
      <c r="E826" s="1" t="s">
        <v>25</v>
      </c>
      <c r="F826" s="1" t="s">
        <v>41</v>
      </c>
      <c r="G826" s="1">
        <v>23</v>
      </c>
      <c r="H826" s="1" t="s">
        <v>98</v>
      </c>
      <c r="I826" s="1" t="s">
        <v>37</v>
      </c>
      <c r="J826" s="1">
        <v>2</v>
      </c>
      <c r="K826" s="1">
        <v>38.14</v>
      </c>
      <c r="L826" s="1">
        <v>15</v>
      </c>
      <c r="M826" s="16">
        <f t="shared" si="12"/>
        <v>64.837999999999994</v>
      </c>
      <c r="N826" s="1">
        <v>0</v>
      </c>
    </row>
    <row r="827" spans="1:14">
      <c r="A827" s="2">
        <v>46081</v>
      </c>
      <c r="B827" s="1">
        <v>1544</v>
      </c>
      <c r="C827" s="1">
        <v>103</v>
      </c>
      <c r="D827" s="1" t="s">
        <v>63</v>
      </c>
      <c r="E827" s="1" t="s">
        <v>25</v>
      </c>
      <c r="F827" s="1" t="s">
        <v>41</v>
      </c>
      <c r="G827" s="1">
        <v>25</v>
      </c>
      <c r="H827" s="1" t="s">
        <v>214</v>
      </c>
      <c r="I827" s="1" t="s">
        <v>37</v>
      </c>
      <c r="J827" s="1">
        <v>2</v>
      </c>
      <c r="K827" s="1">
        <v>17.78</v>
      </c>
      <c r="L827" s="1">
        <v>5</v>
      </c>
      <c r="M827" s="16">
        <f t="shared" si="12"/>
        <v>33.782000000000004</v>
      </c>
      <c r="N827" s="1">
        <v>0</v>
      </c>
    </row>
    <row r="828" spans="1:14">
      <c r="A828" s="2">
        <v>45819</v>
      </c>
      <c r="B828" s="1">
        <v>1085</v>
      </c>
      <c r="C828" s="1">
        <f>_xlfn.XLOOKUP(D828,'Customer Data'!B:B,'Customer Data'!A:A,"Not Found")</f>
        <v>103</v>
      </c>
      <c r="D828" s="1" t="s">
        <v>63</v>
      </c>
      <c r="E828" s="1" t="s">
        <v>25</v>
      </c>
      <c r="F828" s="1" t="s">
        <v>41</v>
      </c>
      <c r="G828" s="1">
        <v>39</v>
      </c>
      <c r="H828" s="1" t="s">
        <v>36</v>
      </c>
      <c r="I828" s="1" t="s">
        <v>27</v>
      </c>
      <c r="J828" s="1">
        <v>1</v>
      </c>
      <c r="K828" s="1">
        <v>39.979999999999997</v>
      </c>
      <c r="L828" s="1">
        <v>0</v>
      </c>
      <c r="M828" s="16">
        <f t="shared" si="12"/>
        <v>39.979999999999997</v>
      </c>
      <c r="N828" s="1">
        <v>0</v>
      </c>
    </row>
    <row r="829" spans="1:14">
      <c r="A829" s="2">
        <v>45990</v>
      </c>
      <c r="B829" s="1">
        <v>1196</v>
      </c>
      <c r="C829" s="1">
        <f>_xlfn.XLOOKUP(D829,'Customer Data'!B:B,'Customer Data'!A:A,"Not Found")</f>
        <v>103</v>
      </c>
      <c r="D829" s="1" t="s">
        <v>63</v>
      </c>
      <c r="E829" s="1" t="s">
        <v>25</v>
      </c>
      <c r="F829" s="1" t="s">
        <v>41</v>
      </c>
      <c r="G829" s="1">
        <v>36</v>
      </c>
      <c r="H829" s="1" t="s">
        <v>62</v>
      </c>
      <c r="I829" s="1" t="s">
        <v>27</v>
      </c>
      <c r="J829" s="1">
        <v>1</v>
      </c>
      <c r="K829" s="1">
        <v>23.23</v>
      </c>
      <c r="L829" s="1">
        <v>5</v>
      </c>
      <c r="M829" s="16">
        <f t="shared" si="12"/>
        <v>22.0685</v>
      </c>
      <c r="N829" s="1">
        <v>0</v>
      </c>
    </row>
    <row r="830" spans="1:14">
      <c r="A830" s="2">
        <v>46040</v>
      </c>
      <c r="B830" s="1">
        <v>1414</v>
      </c>
      <c r="C830" s="1">
        <v>104</v>
      </c>
      <c r="D830" s="1" t="s">
        <v>178</v>
      </c>
      <c r="E830" s="1" t="s">
        <v>29</v>
      </c>
      <c r="F830" s="1" t="s">
        <v>19</v>
      </c>
      <c r="G830" s="1">
        <v>31</v>
      </c>
      <c r="H830" s="1" t="s">
        <v>30</v>
      </c>
      <c r="I830" s="1" t="s">
        <v>31</v>
      </c>
      <c r="J830" s="1">
        <v>3</v>
      </c>
      <c r="K830" s="1">
        <v>57.51</v>
      </c>
      <c r="L830" s="1">
        <v>0</v>
      </c>
      <c r="M830" s="16">
        <f t="shared" si="12"/>
        <v>172.53</v>
      </c>
      <c r="N830" s="1">
        <v>0</v>
      </c>
    </row>
    <row r="831" spans="1:14">
      <c r="A831" s="2">
        <v>46040</v>
      </c>
      <c r="B831" s="1">
        <v>1414</v>
      </c>
      <c r="C831" s="1">
        <v>104</v>
      </c>
      <c r="D831" s="1" t="s">
        <v>178</v>
      </c>
      <c r="E831" s="1" t="s">
        <v>29</v>
      </c>
      <c r="F831" s="1" t="s">
        <v>19</v>
      </c>
      <c r="G831" s="1">
        <v>30</v>
      </c>
      <c r="H831" s="1" t="s">
        <v>57</v>
      </c>
      <c r="I831" s="1" t="s">
        <v>31</v>
      </c>
      <c r="J831" s="1">
        <v>1</v>
      </c>
      <c r="K831" s="1">
        <v>41.49</v>
      </c>
      <c r="L831" s="1">
        <v>0</v>
      </c>
      <c r="M831" s="16">
        <f t="shared" si="12"/>
        <v>41.49</v>
      </c>
      <c r="N831" s="1">
        <v>0</v>
      </c>
    </row>
    <row r="832" spans="1:14">
      <c r="A832" s="2">
        <v>46040</v>
      </c>
      <c r="B832" s="1">
        <v>1414</v>
      </c>
      <c r="C832" s="1">
        <v>104</v>
      </c>
      <c r="D832" s="1" t="s">
        <v>178</v>
      </c>
      <c r="E832" s="1" t="s">
        <v>29</v>
      </c>
      <c r="F832" s="1" t="s">
        <v>19</v>
      </c>
      <c r="G832" s="1">
        <v>20</v>
      </c>
      <c r="H832" s="1" t="s">
        <v>16</v>
      </c>
      <c r="I832" s="1" t="s">
        <v>17</v>
      </c>
      <c r="J832" s="1">
        <v>1</v>
      </c>
      <c r="K832" s="1">
        <v>32.76</v>
      </c>
      <c r="L832" s="1">
        <v>0</v>
      </c>
      <c r="M832" s="16">
        <f t="shared" si="12"/>
        <v>32.76</v>
      </c>
      <c r="N832" s="1">
        <v>0</v>
      </c>
    </row>
    <row r="833" spans="1:14">
      <c r="A833" s="2">
        <v>46040</v>
      </c>
      <c r="B833" s="1">
        <v>1414</v>
      </c>
      <c r="C833" s="1">
        <v>104</v>
      </c>
      <c r="D833" s="1" t="s">
        <v>178</v>
      </c>
      <c r="E833" s="1" t="s">
        <v>29</v>
      </c>
      <c r="F833" s="1" t="s">
        <v>19</v>
      </c>
      <c r="G833" s="1">
        <v>30</v>
      </c>
      <c r="H833" s="1" t="s">
        <v>57</v>
      </c>
      <c r="I833" s="1" t="s">
        <v>31</v>
      </c>
      <c r="J833" s="1">
        <v>1</v>
      </c>
      <c r="K833" s="1">
        <v>41.49</v>
      </c>
      <c r="L833" s="1">
        <v>0</v>
      </c>
      <c r="M833" s="16">
        <f t="shared" si="12"/>
        <v>41.49</v>
      </c>
      <c r="N833" s="1">
        <v>0</v>
      </c>
    </row>
    <row r="834" spans="1:14">
      <c r="A834" s="2">
        <v>46049</v>
      </c>
      <c r="B834" s="1">
        <v>1434</v>
      </c>
      <c r="C834" s="1">
        <v>104</v>
      </c>
      <c r="D834" s="1" t="s">
        <v>178</v>
      </c>
      <c r="E834" s="1" t="s">
        <v>29</v>
      </c>
      <c r="F834" s="1" t="s">
        <v>19</v>
      </c>
      <c r="G834" s="1">
        <v>36</v>
      </c>
      <c r="H834" s="1" t="s">
        <v>62</v>
      </c>
      <c r="I834" s="1" t="s">
        <v>27</v>
      </c>
      <c r="J834" s="1">
        <v>2</v>
      </c>
      <c r="K834" s="1">
        <v>23.23</v>
      </c>
      <c r="L834" s="1">
        <v>0</v>
      </c>
      <c r="M834" s="16">
        <f t="shared" si="12"/>
        <v>46.46</v>
      </c>
      <c r="N834" s="1">
        <v>0</v>
      </c>
    </row>
    <row r="835" spans="1:14">
      <c r="A835" s="2">
        <v>46069</v>
      </c>
      <c r="B835" s="1">
        <v>1492</v>
      </c>
      <c r="C835" s="1">
        <v>104</v>
      </c>
      <c r="D835" s="1" t="s">
        <v>178</v>
      </c>
      <c r="E835" s="1" t="s">
        <v>29</v>
      </c>
      <c r="F835" s="1" t="s">
        <v>19</v>
      </c>
      <c r="G835" s="1">
        <v>19</v>
      </c>
      <c r="H835" s="1" t="s">
        <v>64</v>
      </c>
      <c r="I835" s="1" t="s">
        <v>17</v>
      </c>
      <c r="J835" s="1">
        <v>1</v>
      </c>
      <c r="K835" s="1">
        <v>50.14</v>
      </c>
      <c r="L835" s="1">
        <v>0</v>
      </c>
      <c r="M835" s="16">
        <f t="shared" ref="M835:M898" si="13">J835*K835*(1-L835/100)</f>
        <v>50.14</v>
      </c>
      <c r="N835" s="1">
        <v>0</v>
      </c>
    </row>
    <row r="836" spans="1:14">
      <c r="A836" s="2">
        <v>46069</v>
      </c>
      <c r="B836" s="1">
        <v>1492</v>
      </c>
      <c r="C836" s="1">
        <v>104</v>
      </c>
      <c r="D836" s="1" t="s">
        <v>178</v>
      </c>
      <c r="E836" s="1" t="s">
        <v>29</v>
      </c>
      <c r="F836" s="1" t="s">
        <v>19</v>
      </c>
      <c r="G836" s="1">
        <v>32</v>
      </c>
      <c r="H836" s="1" t="s">
        <v>103</v>
      </c>
      <c r="I836" s="1" t="s">
        <v>31</v>
      </c>
      <c r="J836" s="1">
        <v>1</v>
      </c>
      <c r="K836" s="1">
        <v>61.06</v>
      </c>
      <c r="L836" s="1">
        <v>0</v>
      </c>
      <c r="M836" s="16">
        <f t="shared" si="13"/>
        <v>61.06</v>
      </c>
      <c r="N836" s="1">
        <v>1</v>
      </c>
    </row>
    <row r="837" spans="1:14">
      <c r="A837" s="2">
        <v>45727</v>
      </c>
      <c r="B837" s="1">
        <v>1074</v>
      </c>
      <c r="C837" s="1">
        <v>105</v>
      </c>
      <c r="D837" s="1" t="s">
        <v>112</v>
      </c>
      <c r="E837" s="1" t="s">
        <v>40</v>
      </c>
      <c r="F837" s="1" t="s">
        <v>41</v>
      </c>
      <c r="G837" s="1">
        <v>2</v>
      </c>
      <c r="H837" s="1" t="s">
        <v>80</v>
      </c>
      <c r="I837" s="1" t="s">
        <v>21</v>
      </c>
      <c r="J837" s="1">
        <v>1</v>
      </c>
      <c r="K837" s="1">
        <v>64.02</v>
      </c>
      <c r="L837" s="1">
        <v>20</v>
      </c>
      <c r="M837" s="16">
        <f t="shared" si="13"/>
        <v>51.216000000000001</v>
      </c>
      <c r="N837" s="1">
        <v>0</v>
      </c>
    </row>
    <row r="838" spans="1:14">
      <c r="A838" s="2">
        <v>45980</v>
      </c>
      <c r="B838" s="1">
        <v>1153</v>
      </c>
      <c r="C838" s="1">
        <v>105</v>
      </c>
      <c r="D838" s="1" t="s">
        <v>112</v>
      </c>
      <c r="E838" s="1" t="s">
        <v>40</v>
      </c>
      <c r="F838" s="1" t="s">
        <v>41</v>
      </c>
      <c r="G838" s="1">
        <v>38</v>
      </c>
      <c r="H838" s="1" t="s">
        <v>70</v>
      </c>
      <c r="I838" s="1" t="s">
        <v>27</v>
      </c>
      <c r="J838" s="1">
        <v>1</v>
      </c>
      <c r="K838" s="1">
        <v>25.14</v>
      </c>
      <c r="L838" s="1">
        <v>15</v>
      </c>
      <c r="M838" s="16">
        <f t="shared" si="13"/>
        <v>21.369</v>
      </c>
      <c r="N838" s="1">
        <v>0</v>
      </c>
    </row>
    <row r="839" spans="1:14">
      <c r="A839" s="2">
        <v>46019</v>
      </c>
      <c r="B839" s="1">
        <v>1345</v>
      </c>
      <c r="C839" s="1">
        <v>105</v>
      </c>
      <c r="D839" s="1" t="s">
        <v>112</v>
      </c>
      <c r="E839" s="1" t="s">
        <v>40</v>
      </c>
      <c r="F839" s="1" t="s">
        <v>41</v>
      </c>
      <c r="G839" s="1">
        <v>12</v>
      </c>
      <c r="H839" s="1" t="s">
        <v>215</v>
      </c>
      <c r="I839" s="1" t="s">
        <v>33</v>
      </c>
      <c r="J839" s="1">
        <v>2</v>
      </c>
      <c r="K839" s="1">
        <v>38.869999999999997</v>
      </c>
      <c r="L839" s="1">
        <v>0</v>
      </c>
      <c r="M839" s="16">
        <f t="shared" si="13"/>
        <v>77.739999999999995</v>
      </c>
      <c r="N839" s="1">
        <v>0</v>
      </c>
    </row>
    <row r="840" spans="1:14">
      <c r="A840" s="2">
        <v>46019</v>
      </c>
      <c r="B840" s="1">
        <v>1345</v>
      </c>
      <c r="C840" s="1">
        <v>105</v>
      </c>
      <c r="D840" s="1" t="s">
        <v>112</v>
      </c>
      <c r="E840" s="1" t="s">
        <v>40</v>
      </c>
      <c r="F840" s="1" t="s">
        <v>41</v>
      </c>
      <c r="G840" s="1">
        <v>22</v>
      </c>
      <c r="H840" s="1" t="s">
        <v>75</v>
      </c>
      <c r="I840" s="1" t="s">
        <v>17</v>
      </c>
      <c r="J840" s="1">
        <v>1</v>
      </c>
      <c r="K840" s="1">
        <v>29.98</v>
      </c>
      <c r="L840" s="1">
        <v>0</v>
      </c>
      <c r="M840" s="16">
        <f t="shared" si="13"/>
        <v>29.98</v>
      </c>
      <c r="N840" s="1">
        <v>0</v>
      </c>
    </row>
    <row r="841" spans="1:14">
      <c r="A841" s="2">
        <v>46113</v>
      </c>
      <c r="B841" s="1">
        <v>1371</v>
      </c>
      <c r="C841" s="1">
        <f>_xlfn.XLOOKUP(D841,'Customer Data'!B:B,'Customer Data'!A:A,"Not Found")</f>
        <v>105</v>
      </c>
      <c r="D841" s="1" t="s">
        <v>112</v>
      </c>
      <c r="E841" s="1" t="s">
        <v>40</v>
      </c>
      <c r="F841" s="1" t="s">
        <v>41</v>
      </c>
      <c r="G841" s="1">
        <v>25</v>
      </c>
      <c r="H841" s="1" t="s">
        <v>214</v>
      </c>
      <c r="I841" s="1" t="s">
        <v>37</v>
      </c>
      <c r="J841" s="1">
        <v>1</v>
      </c>
      <c r="K841" s="1">
        <v>17.78</v>
      </c>
      <c r="L841" s="1">
        <v>0</v>
      </c>
      <c r="M841" s="16">
        <f t="shared" si="13"/>
        <v>17.78</v>
      </c>
      <c r="N841" s="1">
        <v>0</v>
      </c>
    </row>
    <row r="842" spans="1:14">
      <c r="A842" s="2">
        <v>46012</v>
      </c>
      <c r="B842" s="1">
        <v>1305</v>
      </c>
      <c r="C842" s="1">
        <v>107</v>
      </c>
      <c r="D842" s="1" t="s">
        <v>166</v>
      </c>
      <c r="E842" s="1" t="s">
        <v>29</v>
      </c>
      <c r="F842" s="1" t="s">
        <v>55</v>
      </c>
      <c r="G842" s="1">
        <v>9</v>
      </c>
      <c r="H842" s="1" t="s">
        <v>69</v>
      </c>
      <c r="I842" s="1" t="s">
        <v>33</v>
      </c>
      <c r="J842" s="1">
        <v>3</v>
      </c>
      <c r="K842" s="1">
        <v>20.69</v>
      </c>
      <c r="L842" s="1">
        <v>0</v>
      </c>
      <c r="M842" s="16">
        <f t="shared" si="13"/>
        <v>62.070000000000007</v>
      </c>
      <c r="N842" s="1">
        <v>1</v>
      </c>
    </row>
    <row r="843" spans="1:14">
      <c r="A843" s="2">
        <v>46052</v>
      </c>
      <c r="B843" s="1">
        <v>1442</v>
      </c>
      <c r="C843" s="1">
        <v>107</v>
      </c>
      <c r="D843" s="1" t="s">
        <v>166</v>
      </c>
      <c r="E843" s="1" t="s">
        <v>29</v>
      </c>
      <c r="F843" s="1" t="s">
        <v>55</v>
      </c>
      <c r="G843" s="1">
        <v>33</v>
      </c>
      <c r="H843" s="1" t="s">
        <v>42</v>
      </c>
      <c r="I843" s="1" t="s">
        <v>31</v>
      </c>
      <c r="J843" s="1">
        <v>1</v>
      </c>
      <c r="K843" s="1">
        <v>40.94</v>
      </c>
      <c r="L843" s="1">
        <v>10</v>
      </c>
      <c r="M843" s="16">
        <f t="shared" si="13"/>
        <v>36.845999999999997</v>
      </c>
      <c r="N843" s="1">
        <v>0</v>
      </c>
    </row>
    <row r="844" spans="1:14">
      <c r="A844" s="2">
        <v>45944</v>
      </c>
      <c r="B844" s="1">
        <v>1009</v>
      </c>
      <c r="C844" s="1">
        <v>108</v>
      </c>
      <c r="D844" s="1" t="s">
        <v>43</v>
      </c>
      <c r="E844" s="1" t="s">
        <v>14</v>
      </c>
      <c r="F844" s="1" t="s">
        <v>15</v>
      </c>
      <c r="G844" s="1">
        <v>24</v>
      </c>
      <c r="H844" s="1" t="s">
        <v>44</v>
      </c>
      <c r="I844" s="1" t="s">
        <v>37</v>
      </c>
      <c r="J844" s="1">
        <v>1</v>
      </c>
      <c r="K844" s="1">
        <v>43.42</v>
      </c>
      <c r="L844" s="1">
        <v>0</v>
      </c>
      <c r="M844" s="16">
        <f t="shared" si="13"/>
        <v>43.42</v>
      </c>
      <c r="N844" s="1">
        <v>0</v>
      </c>
    </row>
    <row r="845" spans="1:14">
      <c r="A845" s="2">
        <v>46016</v>
      </c>
      <c r="B845" s="1">
        <v>1009</v>
      </c>
      <c r="C845" s="1">
        <v>108</v>
      </c>
      <c r="D845" s="1" t="s">
        <v>43</v>
      </c>
      <c r="E845" s="1" t="s">
        <v>14</v>
      </c>
      <c r="F845" s="1" t="s">
        <v>15</v>
      </c>
      <c r="G845" s="1">
        <v>13</v>
      </c>
      <c r="H845" s="1" t="s">
        <v>45</v>
      </c>
      <c r="I845" s="1" t="s">
        <v>33</v>
      </c>
      <c r="J845" s="1">
        <v>3</v>
      </c>
      <c r="K845" s="1">
        <v>54.9</v>
      </c>
      <c r="L845" s="1">
        <v>5.5</v>
      </c>
      <c r="M845" s="16">
        <f t="shared" si="13"/>
        <v>155.64149999999998</v>
      </c>
      <c r="N845" s="1">
        <v>0</v>
      </c>
    </row>
    <row r="846" spans="1:14">
      <c r="A846" s="2">
        <v>45944</v>
      </c>
      <c r="B846" s="1">
        <v>1009</v>
      </c>
      <c r="C846" s="1">
        <v>108</v>
      </c>
      <c r="D846" s="1" t="s">
        <v>43</v>
      </c>
      <c r="E846" s="1" t="s">
        <v>14</v>
      </c>
      <c r="F846" s="1" t="s">
        <v>15</v>
      </c>
      <c r="G846" s="1">
        <v>7</v>
      </c>
      <c r="H846" s="1" t="s">
        <v>46</v>
      </c>
      <c r="I846" s="1" t="s">
        <v>21</v>
      </c>
      <c r="J846" s="1">
        <v>3</v>
      </c>
      <c r="K846" s="1">
        <v>79.39</v>
      </c>
      <c r="L846" s="1">
        <v>5</v>
      </c>
      <c r="M846" s="16">
        <f t="shared" si="13"/>
        <v>226.26150000000001</v>
      </c>
      <c r="N846" s="1">
        <v>0</v>
      </c>
    </row>
    <row r="847" spans="1:14">
      <c r="A847" s="2">
        <v>45727</v>
      </c>
      <c r="B847" s="1">
        <v>1075</v>
      </c>
      <c r="C847" s="1">
        <v>108</v>
      </c>
      <c r="D847" s="1" t="s">
        <v>43</v>
      </c>
      <c r="E847" s="1" t="s">
        <v>14</v>
      </c>
      <c r="F847" s="1" t="s">
        <v>15</v>
      </c>
      <c r="G847" s="1">
        <v>15</v>
      </c>
      <c r="H847" s="1" t="s">
        <v>48</v>
      </c>
      <c r="I847" s="1" t="s">
        <v>33</v>
      </c>
      <c r="J847" s="1">
        <v>1</v>
      </c>
      <c r="K847" s="1">
        <v>47.71</v>
      </c>
      <c r="L847" s="1">
        <v>25</v>
      </c>
      <c r="M847" s="16">
        <f t="shared" si="13"/>
        <v>35.782499999999999</v>
      </c>
      <c r="N847" s="1">
        <v>0</v>
      </c>
    </row>
    <row r="848" spans="1:14">
      <c r="A848" s="2">
        <v>45982</v>
      </c>
      <c r="B848" s="1">
        <v>1161</v>
      </c>
      <c r="C848" s="1">
        <v>108</v>
      </c>
      <c r="D848" s="1" t="s">
        <v>43</v>
      </c>
      <c r="E848" s="1" t="s">
        <v>122</v>
      </c>
      <c r="F848" s="1" t="s">
        <v>15</v>
      </c>
      <c r="G848" s="1">
        <v>20</v>
      </c>
      <c r="H848" s="1" t="s">
        <v>16</v>
      </c>
      <c r="I848" s="1" t="s">
        <v>17</v>
      </c>
      <c r="J848" s="1">
        <v>2</v>
      </c>
      <c r="K848" s="1">
        <v>32.76</v>
      </c>
      <c r="L848" s="1">
        <v>0</v>
      </c>
      <c r="M848" s="16">
        <f t="shared" si="13"/>
        <v>65.52</v>
      </c>
      <c r="N848" s="1">
        <v>0</v>
      </c>
    </row>
    <row r="849" spans="1:14">
      <c r="A849" s="2">
        <v>45982</v>
      </c>
      <c r="B849" s="1">
        <v>1161</v>
      </c>
      <c r="C849" s="1">
        <v>108</v>
      </c>
      <c r="D849" s="1" t="s">
        <v>43</v>
      </c>
      <c r="E849" s="1" t="s">
        <v>14</v>
      </c>
      <c r="F849" s="1" t="s">
        <v>15</v>
      </c>
      <c r="G849" s="1">
        <v>29</v>
      </c>
      <c r="H849" s="1" t="s">
        <v>96</v>
      </c>
      <c r="I849" s="1" t="s">
        <v>31</v>
      </c>
      <c r="J849" s="1">
        <v>1</v>
      </c>
      <c r="K849" s="1">
        <v>45.67</v>
      </c>
      <c r="L849" s="1">
        <v>0</v>
      </c>
      <c r="M849" s="16">
        <f t="shared" si="13"/>
        <v>45.67</v>
      </c>
      <c r="N849" s="1">
        <v>0</v>
      </c>
    </row>
    <row r="850" spans="1:14">
      <c r="A850" s="2">
        <v>45985</v>
      </c>
      <c r="B850" s="1">
        <v>1173</v>
      </c>
      <c r="C850" s="1">
        <v>108</v>
      </c>
      <c r="D850" s="1" t="s">
        <v>43</v>
      </c>
      <c r="E850" s="1" t="s">
        <v>14</v>
      </c>
      <c r="F850" s="1" t="s">
        <v>15</v>
      </c>
      <c r="G850" s="1">
        <v>20</v>
      </c>
      <c r="H850" s="1" t="s">
        <v>16</v>
      </c>
      <c r="I850" s="1" t="s">
        <v>17</v>
      </c>
      <c r="J850" s="1">
        <v>2</v>
      </c>
      <c r="K850" s="1">
        <v>32.76</v>
      </c>
      <c r="L850" s="1">
        <v>15</v>
      </c>
      <c r="M850" s="16">
        <f t="shared" si="13"/>
        <v>55.691999999999993</v>
      </c>
      <c r="N850" s="1">
        <v>0</v>
      </c>
    </row>
    <row r="851" spans="1:14">
      <c r="A851" s="2">
        <v>45985</v>
      </c>
      <c r="B851" s="1">
        <v>1173</v>
      </c>
      <c r="C851" s="1">
        <v>108</v>
      </c>
      <c r="D851" s="1" t="s">
        <v>43</v>
      </c>
      <c r="E851" s="1" t="s">
        <v>14</v>
      </c>
      <c r="F851" s="1" t="s">
        <v>15</v>
      </c>
      <c r="G851" s="1">
        <v>9</v>
      </c>
      <c r="H851" s="1" t="s">
        <v>69</v>
      </c>
      <c r="I851" s="1" t="s">
        <v>33</v>
      </c>
      <c r="J851" s="1">
        <v>1</v>
      </c>
      <c r="K851" s="1">
        <v>20.69</v>
      </c>
      <c r="L851" s="1">
        <v>25</v>
      </c>
      <c r="M851" s="16">
        <f t="shared" si="13"/>
        <v>15.517500000000002</v>
      </c>
      <c r="N851" s="1">
        <v>0</v>
      </c>
    </row>
    <row r="852" spans="1:14">
      <c r="A852" s="2">
        <v>45985</v>
      </c>
      <c r="B852" s="1">
        <v>1173</v>
      </c>
      <c r="C852" s="1">
        <v>108</v>
      </c>
      <c r="D852" s="1" t="s">
        <v>43</v>
      </c>
      <c r="E852" s="1" t="s">
        <v>14</v>
      </c>
      <c r="F852" s="1" t="s">
        <v>15</v>
      </c>
      <c r="G852" s="1">
        <v>10</v>
      </c>
      <c r="H852" s="1" t="s">
        <v>32</v>
      </c>
      <c r="I852" s="1" t="s">
        <v>33</v>
      </c>
      <c r="J852" s="1">
        <v>2</v>
      </c>
      <c r="K852" s="1">
        <v>62.68</v>
      </c>
      <c r="L852" s="1">
        <v>25</v>
      </c>
      <c r="M852" s="16">
        <f t="shared" si="13"/>
        <v>94.02</v>
      </c>
      <c r="N852" s="1">
        <v>0</v>
      </c>
    </row>
    <row r="853" spans="1:14">
      <c r="A853" s="2">
        <v>45985</v>
      </c>
      <c r="B853" s="1">
        <v>1173</v>
      </c>
      <c r="C853" s="1">
        <v>108</v>
      </c>
      <c r="D853" s="1" t="s">
        <v>43</v>
      </c>
      <c r="E853" s="1" t="s">
        <v>14</v>
      </c>
      <c r="F853" s="1" t="s">
        <v>15</v>
      </c>
      <c r="G853" s="1">
        <v>22</v>
      </c>
      <c r="H853" s="1" t="s">
        <v>75</v>
      </c>
      <c r="I853" s="1" t="s">
        <v>17</v>
      </c>
      <c r="J853" s="1">
        <v>1</v>
      </c>
      <c r="K853" s="1">
        <v>29.98</v>
      </c>
      <c r="L853" s="1">
        <v>20</v>
      </c>
      <c r="M853" s="16">
        <f t="shared" si="13"/>
        <v>23.984000000000002</v>
      </c>
      <c r="N853" s="1">
        <v>0</v>
      </c>
    </row>
    <row r="854" spans="1:14">
      <c r="A854" s="2">
        <v>45989</v>
      </c>
      <c r="B854" s="1">
        <v>1195</v>
      </c>
      <c r="C854" s="1">
        <v>108</v>
      </c>
      <c r="D854" s="1" t="s">
        <v>43</v>
      </c>
      <c r="E854" s="1" t="s">
        <v>14</v>
      </c>
      <c r="F854" s="1" t="s">
        <v>15</v>
      </c>
      <c r="G854" s="1">
        <v>39</v>
      </c>
      <c r="H854" s="1" t="s">
        <v>36</v>
      </c>
      <c r="I854" s="1" t="s">
        <v>27</v>
      </c>
      <c r="J854" s="1">
        <v>3</v>
      </c>
      <c r="K854" s="1">
        <v>39.979999999999997</v>
      </c>
      <c r="L854" s="1">
        <v>5</v>
      </c>
      <c r="M854" s="16">
        <f t="shared" si="13"/>
        <v>113.943</v>
      </c>
      <c r="N854" s="1">
        <v>0</v>
      </c>
    </row>
    <row r="855" spans="1:14">
      <c r="A855" s="2">
        <v>45991</v>
      </c>
      <c r="B855" s="1">
        <v>1204</v>
      </c>
      <c r="C855" s="1">
        <v>108</v>
      </c>
      <c r="D855" s="1" t="s">
        <v>43</v>
      </c>
      <c r="E855" s="1" t="s">
        <v>14</v>
      </c>
      <c r="F855" s="1" t="s">
        <v>15</v>
      </c>
      <c r="G855" s="1">
        <v>25</v>
      </c>
      <c r="H855" s="1" t="s">
        <v>214</v>
      </c>
      <c r="I855" s="1" t="s">
        <v>37</v>
      </c>
      <c r="J855" s="1">
        <v>3</v>
      </c>
      <c r="K855" s="1">
        <v>17.78</v>
      </c>
      <c r="L855" s="1">
        <v>0</v>
      </c>
      <c r="M855" s="16">
        <f t="shared" si="13"/>
        <v>53.34</v>
      </c>
      <c r="N855" s="1">
        <v>0</v>
      </c>
    </row>
    <row r="856" spans="1:14">
      <c r="A856" s="2">
        <v>45728</v>
      </c>
      <c r="B856" s="1">
        <v>1221</v>
      </c>
      <c r="C856" s="1">
        <v>108</v>
      </c>
      <c r="D856" s="1" t="s">
        <v>43</v>
      </c>
      <c r="E856" s="1" t="s">
        <v>14</v>
      </c>
      <c r="F856" s="1" t="s">
        <v>15</v>
      </c>
      <c r="G856" s="1">
        <v>31</v>
      </c>
      <c r="H856" s="1" t="s">
        <v>30</v>
      </c>
      <c r="I856" s="1" t="s">
        <v>154</v>
      </c>
      <c r="J856" s="1">
        <v>1</v>
      </c>
      <c r="K856" s="1">
        <v>57.51</v>
      </c>
      <c r="L856" s="1">
        <v>5.5</v>
      </c>
      <c r="M856" s="16">
        <f t="shared" si="13"/>
        <v>54.346949999999993</v>
      </c>
      <c r="N856" s="1">
        <v>0</v>
      </c>
    </row>
    <row r="857" spans="1:14">
      <c r="A857" s="2">
        <v>46081</v>
      </c>
      <c r="B857" s="1">
        <v>1545</v>
      </c>
      <c r="C857" s="1">
        <v>108</v>
      </c>
      <c r="D857" s="1" t="s">
        <v>43</v>
      </c>
      <c r="E857" s="1" t="s">
        <v>14</v>
      </c>
      <c r="F857" s="1" t="s">
        <v>15</v>
      </c>
      <c r="G857" s="1">
        <v>2</v>
      </c>
      <c r="H857" s="1" t="s">
        <v>80</v>
      </c>
      <c r="I857" s="1" t="s">
        <v>21</v>
      </c>
      <c r="J857" s="1">
        <v>2</v>
      </c>
      <c r="K857" s="1">
        <v>64.02</v>
      </c>
      <c r="L857" s="1">
        <v>25</v>
      </c>
      <c r="M857" s="16">
        <f t="shared" si="13"/>
        <v>96.03</v>
      </c>
      <c r="N857" s="1">
        <v>0</v>
      </c>
    </row>
    <row r="858" spans="1:14">
      <c r="A858" s="2">
        <v>45971</v>
      </c>
      <c r="B858" s="1">
        <v>1004</v>
      </c>
      <c r="C858" s="1">
        <v>109</v>
      </c>
      <c r="D858" s="1" t="s">
        <v>24</v>
      </c>
      <c r="E858" s="1" t="s">
        <v>25</v>
      </c>
      <c r="F858" s="1" t="s">
        <v>19</v>
      </c>
      <c r="G858" s="1">
        <v>37</v>
      </c>
      <c r="H858" s="1" t="s">
        <v>26</v>
      </c>
      <c r="I858" s="1" t="s">
        <v>27</v>
      </c>
      <c r="J858" s="1">
        <v>1</v>
      </c>
      <c r="K858" s="1">
        <v>38.869999999999997</v>
      </c>
      <c r="L858" s="1">
        <v>25</v>
      </c>
      <c r="M858" s="16">
        <f t="shared" si="13"/>
        <v>29.152499999999996</v>
      </c>
      <c r="N858" s="1">
        <v>0</v>
      </c>
    </row>
    <row r="859" spans="1:14">
      <c r="A859" s="2">
        <v>45945</v>
      </c>
      <c r="B859" s="1">
        <v>1011</v>
      </c>
      <c r="C859" s="1">
        <v>109</v>
      </c>
      <c r="D859" s="1" t="s">
        <v>24</v>
      </c>
      <c r="E859" s="1" t="s">
        <v>25</v>
      </c>
      <c r="F859" s="1" t="s">
        <v>19</v>
      </c>
      <c r="G859" s="1">
        <v>13</v>
      </c>
      <c r="H859" s="1" t="s">
        <v>45</v>
      </c>
      <c r="I859" s="1" t="s">
        <v>33</v>
      </c>
      <c r="J859" s="1">
        <v>1</v>
      </c>
      <c r="K859" s="1">
        <v>54.9</v>
      </c>
      <c r="L859" s="1">
        <v>10</v>
      </c>
      <c r="M859" s="16">
        <f t="shared" si="13"/>
        <v>49.41</v>
      </c>
      <c r="N859" s="1">
        <v>0</v>
      </c>
    </row>
    <row r="860" spans="1:14">
      <c r="A860" s="2">
        <v>45945</v>
      </c>
      <c r="B860" s="1">
        <v>1011</v>
      </c>
      <c r="C860" s="1">
        <v>109</v>
      </c>
      <c r="D860" s="1" t="s">
        <v>24</v>
      </c>
      <c r="E860" s="1" t="s">
        <v>25</v>
      </c>
      <c r="F860" s="1" t="s">
        <v>19</v>
      </c>
      <c r="G860" s="1">
        <v>15</v>
      </c>
      <c r="H860" s="1" t="s">
        <v>48</v>
      </c>
      <c r="I860" s="1" t="s">
        <v>33</v>
      </c>
      <c r="J860" s="1">
        <v>1</v>
      </c>
      <c r="K860" s="1">
        <v>47.71</v>
      </c>
      <c r="L860" s="1">
        <v>10</v>
      </c>
      <c r="M860" s="16">
        <f t="shared" si="13"/>
        <v>42.939</v>
      </c>
      <c r="N860" s="1">
        <v>0</v>
      </c>
    </row>
    <row r="861" spans="1:14">
      <c r="A861" s="2">
        <v>45958</v>
      </c>
      <c r="B861" s="1">
        <v>1052</v>
      </c>
      <c r="C861" s="1">
        <v>109</v>
      </c>
      <c r="D861" s="1" t="s">
        <v>24</v>
      </c>
      <c r="E861" s="1" t="s">
        <v>25</v>
      </c>
      <c r="F861" s="1" t="s">
        <v>19</v>
      </c>
      <c r="G861" s="1">
        <v>32</v>
      </c>
      <c r="H861" s="1" t="s">
        <v>103</v>
      </c>
      <c r="I861" s="1" t="s">
        <v>31</v>
      </c>
      <c r="J861" s="1">
        <v>1</v>
      </c>
      <c r="K861" s="1">
        <v>61.06</v>
      </c>
      <c r="L861" s="1">
        <v>25</v>
      </c>
      <c r="M861" s="16">
        <f t="shared" si="13"/>
        <v>45.795000000000002</v>
      </c>
      <c r="N861" s="1">
        <v>0</v>
      </c>
    </row>
    <row r="862" spans="1:14">
      <c r="A862" s="2">
        <v>45991</v>
      </c>
      <c r="B862" s="1">
        <v>1205</v>
      </c>
      <c r="C862" s="1">
        <v>109</v>
      </c>
      <c r="D862" s="1" t="s">
        <v>24</v>
      </c>
      <c r="E862" s="1" t="s">
        <v>25</v>
      </c>
      <c r="F862" s="1" t="s">
        <v>19</v>
      </c>
      <c r="G862" s="1">
        <v>37</v>
      </c>
      <c r="H862" s="1" t="s">
        <v>26</v>
      </c>
      <c r="I862" s="1" t="s">
        <v>27</v>
      </c>
      <c r="J862" s="1">
        <v>1</v>
      </c>
      <c r="K862" s="1">
        <v>52.67</v>
      </c>
      <c r="L862" s="1">
        <v>20</v>
      </c>
      <c r="M862" s="16">
        <f t="shared" si="13"/>
        <v>42.136000000000003</v>
      </c>
      <c r="N862" s="1">
        <v>0</v>
      </c>
    </row>
    <row r="863" spans="1:14">
      <c r="A863" s="2">
        <v>45942</v>
      </c>
      <c r="B863" s="1">
        <v>1251</v>
      </c>
      <c r="C863" s="1">
        <v>109</v>
      </c>
      <c r="D863" s="1" t="s">
        <v>24</v>
      </c>
      <c r="E863" s="1" t="s">
        <v>25</v>
      </c>
      <c r="F863" s="1" t="s">
        <v>19</v>
      </c>
      <c r="G863" s="1">
        <v>4</v>
      </c>
      <c r="H863" s="1" t="s">
        <v>92</v>
      </c>
      <c r="I863" s="1" t="s">
        <v>21</v>
      </c>
      <c r="J863" s="1">
        <v>1</v>
      </c>
      <c r="K863" s="1">
        <v>34.83</v>
      </c>
      <c r="L863" s="1">
        <v>0</v>
      </c>
      <c r="M863" s="16">
        <f t="shared" si="13"/>
        <v>34.83</v>
      </c>
      <c r="N863" s="1">
        <v>0</v>
      </c>
    </row>
    <row r="864" spans="1:14">
      <c r="A864" s="2">
        <v>46004</v>
      </c>
      <c r="B864" s="1">
        <v>1273</v>
      </c>
      <c r="C864" s="1">
        <v>109</v>
      </c>
      <c r="D864" s="1" t="s">
        <v>24</v>
      </c>
      <c r="E864" s="1" t="s">
        <v>25</v>
      </c>
      <c r="F864" s="1" t="s">
        <v>19</v>
      </c>
      <c r="G864" s="1">
        <v>5</v>
      </c>
      <c r="H864" s="1" t="s">
        <v>38</v>
      </c>
      <c r="I864" s="1" t="s">
        <v>21</v>
      </c>
      <c r="J864" s="1">
        <v>1</v>
      </c>
      <c r="K864" s="1">
        <v>42.53</v>
      </c>
      <c r="L864" s="1">
        <v>10</v>
      </c>
      <c r="M864" s="16">
        <f t="shared" si="13"/>
        <v>38.277000000000001</v>
      </c>
      <c r="N864" s="1">
        <v>0</v>
      </c>
    </row>
    <row r="865" spans="1:14">
      <c r="A865" s="2">
        <v>46007</v>
      </c>
      <c r="B865" s="1">
        <v>1287</v>
      </c>
      <c r="C865" s="1">
        <v>109</v>
      </c>
      <c r="D865" s="1" t="s">
        <v>24</v>
      </c>
      <c r="E865" s="1" t="s">
        <v>25</v>
      </c>
      <c r="F865" s="1" t="s">
        <v>19</v>
      </c>
      <c r="G865" s="1">
        <v>12</v>
      </c>
      <c r="H865" s="1" t="s">
        <v>215</v>
      </c>
      <c r="I865" s="1" t="s">
        <v>33</v>
      </c>
      <c r="J865" s="1">
        <v>3</v>
      </c>
      <c r="K865" s="1">
        <v>8.4499999999999993</v>
      </c>
      <c r="L865" s="1">
        <v>5</v>
      </c>
      <c r="M865" s="16">
        <f t="shared" si="13"/>
        <v>24.082499999999996</v>
      </c>
      <c r="N865" s="1">
        <v>0</v>
      </c>
    </row>
    <row r="866" spans="1:14">
      <c r="A866" s="2">
        <v>46016</v>
      </c>
      <c r="B866" s="1">
        <v>1287</v>
      </c>
      <c r="C866" s="1">
        <v>109</v>
      </c>
      <c r="D866" s="1" t="s">
        <v>24</v>
      </c>
      <c r="E866" s="1" t="s">
        <v>25</v>
      </c>
      <c r="F866" s="1" t="s">
        <v>19</v>
      </c>
      <c r="G866" s="1">
        <v>40</v>
      </c>
      <c r="H866" s="1" t="s">
        <v>53</v>
      </c>
      <c r="I866" s="1" t="s">
        <v>27</v>
      </c>
      <c r="J866" s="1">
        <v>1</v>
      </c>
      <c r="K866" s="1">
        <v>47.25</v>
      </c>
      <c r="L866" s="1">
        <v>0</v>
      </c>
      <c r="M866" s="16">
        <f t="shared" si="13"/>
        <v>47.25</v>
      </c>
      <c r="N866" s="1">
        <v>0</v>
      </c>
    </row>
    <row r="867" spans="1:14">
      <c r="A867" s="2">
        <v>46007</v>
      </c>
      <c r="B867" s="1">
        <v>1287</v>
      </c>
      <c r="C867" s="1">
        <v>109</v>
      </c>
      <c r="D867" s="1" t="s">
        <v>24</v>
      </c>
      <c r="E867" s="1" t="s">
        <v>25</v>
      </c>
      <c r="F867" s="1" t="s">
        <v>19</v>
      </c>
      <c r="G867" s="1">
        <v>6</v>
      </c>
      <c r="H867" s="1" t="s">
        <v>99</v>
      </c>
      <c r="I867" s="1" t="s">
        <v>21</v>
      </c>
      <c r="J867" s="1">
        <v>1</v>
      </c>
      <c r="K867" s="1">
        <v>70.47</v>
      </c>
      <c r="L867" s="1">
        <v>5</v>
      </c>
      <c r="M867" s="16">
        <f t="shared" si="13"/>
        <v>66.9465</v>
      </c>
      <c r="N867" s="1">
        <v>0</v>
      </c>
    </row>
    <row r="868" spans="1:14">
      <c r="A868" s="2">
        <v>46015</v>
      </c>
      <c r="B868" s="1">
        <v>1321</v>
      </c>
      <c r="C868" s="1">
        <v>109</v>
      </c>
      <c r="D868" s="1" t="s">
        <v>24</v>
      </c>
      <c r="E868" s="1" t="s">
        <v>25</v>
      </c>
      <c r="F868" s="1" t="s">
        <v>19</v>
      </c>
      <c r="G868" s="1">
        <v>36</v>
      </c>
      <c r="H868" s="1" t="s">
        <v>62</v>
      </c>
      <c r="I868" s="1" t="s">
        <v>27</v>
      </c>
      <c r="J868" s="1">
        <v>1</v>
      </c>
      <c r="K868" s="1">
        <v>23.23</v>
      </c>
      <c r="L868" s="1">
        <v>10</v>
      </c>
      <c r="M868" s="16">
        <f t="shared" si="13"/>
        <v>20.907</v>
      </c>
      <c r="N868" s="1">
        <v>0</v>
      </c>
    </row>
    <row r="869" spans="1:14">
      <c r="A869" s="2">
        <v>46015</v>
      </c>
      <c r="B869" s="1">
        <v>1321</v>
      </c>
      <c r="C869" s="1">
        <v>109</v>
      </c>
      <c r="D869" s="1" t="s">
        <v>24</v>
      </c>
      <c r="E869" s="1" t="s">
        <v>25</v>
      </c>
      <c r="F869" s="1" t="s">
        <v>19</v>
      </c>
      <c r="G869" s="1">
        <v>28</v>
      </c>
      <c r="H869" s="1" t="s">
        <v>51</v>
      </c>
      <c r="I869" s="1" t="s">
        <v>37</v>
      </c>
      <c r="J869" s="1">
        <v>1</v>
      </c>
      <c r="K869" s="1">
        <v>21.24</v>
      </c>
      <c r="L869" s="1">
        <v>0</v>
      </c>
      <c r="M869" s="16">
        <f t="shared" si="13"/>
        <v>21.24</v>
      </c>
      <c r="N869" s="1">
        <v>1</v>
      </c>
    </row>
    <row r="870" spans="1:14">
      <c r="A870" s="2">
        <v>46015</v>
      </c>
      <c r="B870" s="1">
        <v>1321</v>
      </c>
      <c r="C870" s="1">
        <v>109</v>
      </c>
      <c r="D870" s="1" t="s">
        <v>24</v>
      </c>
      <c r="E870" s="1" t="s">
        <v>25</v>
      </c>
      <c r="F870" s="1" t="s">
        <v>19</v>
      </c>
      <c r="G870" s="1">
        <v>27</v>
      </c>
      <c r="H870" s="1" t="s">
        <v>89</v>
      </c>
      <c r="I870" s="1" t="s">
        <v>129</v>
      </c>
      <c r="J870" s="1">
        <v>1</v>
      </c>
      <c r="K870" s="1">
        <v>27.3</v>
      </c>
      <c r="L870" s="1">
        <v>10</v>
      </c>
      <c r="M870" s="16">
        <f t="shared" si="13"/>
        <v>24.57</v>
      </c>
      <c r="N870" s="1">
        <v>0</v>
      </c>
    </row>
    <row r="871" spans="1:14">
      <c r="A871" s="2">
        <v>46015</v>
      </c>
      <c r="B871" s="1">
        <v>1321</v>
      </c>
      <c r="C871" s="1">
        <v>109</v>
      </c>
      <c r="D871" s="1" t="s">
        <v>24</v>
      </c>
      <c r="E871" s="1" t="s">
        <v>25</v>
      </c>
      <c r="F871" s="1" t="s">
        <v>35</v>
      </c>
      <c r="G871" s="1">
        <v>21</v>
      </c>
      <c r="H871" s="1" t="s">
        <v>97</v>
      </c>
      <c r="I871" s="1" t="s">
        <v>17</v>
      </c>
      <c r="J871" s="1">
        <v>3</v>
      </c>
      <c r="K871" s="1">
        <v>49.37</v>
      </c>
      <c r="L871" s="1">
        <v>5</v>
      </c>
      <c r="M871" s="16">
        <f t="shared" si="13"/>
        <v>140.70449999999997</v>
      </c>
      <c r="N871" s="1">
        <v>0</v>
      </c>
    </row>
    <row r="872" spans="1:14">
      <c r="A872" s="2">
        <v>46016</v>
      </c>
      <c r="B872" s="1">
        <v>1328</v>
      </c>
      <c r="C872" s="1">
        <v>109</v>
      </c>
      <c r="D872" s="1" t="s">
        <v>24</v>
      </c>
      <c r="E872" s="1" t="s">
        <v>25</v>
      </c>
      <c r="F872" s="1" t="s">
        <v>19</v>
      </c>
      <c r="G872" s="1">
        <v>36</v>
      </c>
      <c r="H872" s="1" t="s">
        <v>62</v>
      </c>
      <c r="I872" s="1" t="s">
        <v>27</v>
      </c>
      <c r="J872" s="1">
        <v>2</v>
      </c>
      <c r="K872" s="1">
        <v>23.23</v>
      </c>
      <c r="L872" s="1">
        <v>10</v>
      </c>
      <c r="M872" s="16">
        <f t="shared" si="13"/>
        <v>41.814</v>
      </c>
      <c r="N872" s="1">
        <v>0</v>
      </c>
    </row>
    <row r="873" spans="1:14">
      <c r="A873" s="2">
        <v>46054</v>
      </c>
      <c r="B873" s="1">
        <v>1367</v>
      </c>
      <c r="C873" s="1">
        <v>109</v>
      </c>
      <c r="D873" s="1" t="s">
        <v>24</v>
      </c>
      <c r="E873" s="1" t="s">
        <v>25</v>
      </c>
      <c r="F873" s="1" t="s">
        <v>35</v>
      </c>
      <c r="G873" s="1">
        <v>5</v>
      </c>
      <c r="H873" s="1" t="s">
        <v>38</v>
      </c>
      <c r="I873" s="1" t="s">
        <v>21</v>
      </c>
      <c r="J873" s="1">
        <v>1</v>
      </c>
      <c r="K873" s="1">
        <v>42.53</v>
      </c>
      <c r="L873" s="1">
        <v>10</v>
      </c>
      <c r="M873" s="16">
        <f t="shared" si="13"/>
        <v>38.277000000000001</v>
      </c>
      <c r="N873" s="1">
        <v>0</v>
      </c>
    </row>
    <row r="874" spans="1:14">
      <c r="A874" s="2">
        <v>46033</v>
      </c>
      <c r="B874" s="1">
        <v>1393</v>
      </c>
      <c r="C874" s="1">
        <v>109</v>
      </c>
      <c r="D874" s="1" t="s">
        <v>24</v>
      </c>
      <c r="E874" s="1" t="s">
        <v>25</v>
      </c>
      <c r="F874" s="1" t="s">
        <v>19</v>
      </c>
      <c r="G874" s="1">
        <v>34</v>
      </c>
      <c r="H874" s="1" t="str">
        <f>IF(I874="Apparel","Joggers",IF(I874="Beauty","Vitamin C Serum",IF(I874="Electronics","Wireless Earbuds",IF(I874="Home","LED Lamp",IF(I874="Sports","Water Bottle",IF(I874="Toys","RC Car",""))))))</f>
        <v>Water Bottle</v>
      </c>
      <c r="I874" s="1" t="s">
        <v>31</v>
      </c>
      <c r="J874" s="1">
        <v>1</v>
      </c>
      <c r="K874" s="1">
        <v>58.26</v>
      </c>
      <c r="L874" s="1">
        <v>25</v>
      </c>
      <c r="M874" s="16">
        <f t="shared" si="13"/>
        <v>43.695</v>
      </c>
      <c r="N874" s="1">
        <v>0</v>
      </c>
    </row>
    <row r="875" spans="1:14">
      <c r="A875" s="2">
        <v>46357</v>
      </c>
      <c r="B875" s="1">
        <v>1400</v>
      </c>
      <c r="C875" s="1">
        <v>109</v>
      </c>
      <c r="D875" s="1" t="s">
        <v>24</v>
      </c>
      <c r="E875" s="1" t="s">
        <v>25</v>
      </c>
      <c r="F875" s="1" t="s">
        <v>19</v>
      </c>
      <c r="G875" s="1">
        <v>29</v>
      </c>
      <c r="H875" s="1" t="s">
        <v>96</v>
      </c>
      <c r="I875" s="1" t="s">
        <v>31</v>
      </c>
      <c r="J875" s="1">
        <v>3</v>
      </c>
      <c r="K875" s="1">
        <v>45.67</v>
      </c>
      <c r="L875" s="1">
        <v>5</v>
      </c>
      <c r="M875" s="16">
        <f t="shared" si="13"/>
        <v>130.15949999999998</v>
      </c>
      <c r="N875" s="1">
        <v>0</v>
      </c>
    </row>
    <row r="876" spans="1:14">
      <c r="A876" s="2">
        <v>46357</v>
      </c>
      <c r="B876" s="1">
        <v>1400</v>
      </c>
      <c r="C876" s="1">
        <v>109</v>
      </c>
      <c r="D876" s="1" t="s">
        <v>24</v>
      </c>
      <c r="E876" s="1" t="s">
        <v>25</v>
      </c>
      <c r="F876" s="1" t="s">
        <v>19</v>
      </c>
      <c r="G876" s="1">
        <v>38</v>
      </c>
      <c r="H876" s="1" t="s">
        <v>70</v>
      </c>
      <c r="I876" s="1" t="s">
        <v>27</v>
      </c>
      <c r="J876" s="1">
        <v>2</v>
      </c>
      <c r="K876" s="1">
        <v>25.14</v>
      </c>
      <c r="L876" s="1">
        <v>5</v>
      </c>
      <c r="M876" s="16">
        <f t="shared" si="13"/>
        <v>47.765999999999998</v>
      </c>
      <c r="N876" s="1">
        <v>0</v>
      </c>
    </row>
    <row r="877" spans="1:14">
      <c r="A877" s="2">
        <v>46016</v>
      </c>
      <c r="B877" s="1">
        <v>1449</v>
      </c>
      <c r="C877" s="1">
        <v>109</v>
      </c>
      <c r="D877" s="1" t="s">
        <v>24</v>
      </c>
      <c r="E877" s="1" t="s">
        <v>25</v>
      </c>
      <c r="F877" s="1" t="s">
        <v>19</v>
      </c>
      <c r="G877" s="1">
        <v>19</v>
      </c>
      <c r="H877" s="1" t="s">
        <v>64</v>
      </c>
      <c r="I877" s="1" t="s">
        <v>17</v>
      </c>
      <c r="J877" s="1">
        <v>3</v>
      </c>
      <c r="K877" s="1">
        <v>50.14</v>
      </c>
      <c r="L877" s="1">
        <v>20</v>
      </c>
      <c r="M877" s="16">
        <f t="shared" si="13"/>
        <v>120.33600000000001</v>
      </c>
      <c r="N877" s="1">
        <v>0</v>
      </c>
    </row>
    <row r="878" spans="1:14">
      <c r="A878" s="2">
        <v>46083</v>
      </c>
      <c r="B878" s="1">
        <v>1449</v>
      </c>
      <c r="C878" s="1">
        <v>109</v>
      </c>
      <c r="D878" s="1" t="s">
        <v>24</v>
      </c>
      <c r="E878" s="1" t="s">
        <v>25</v>
      </c>
      <c r="F878" s="1" t="s">
        <v>19</v>
      </c>
      <c r="G878" s="1">
        <v>35</v>
      </c>
      <c r="H878" s="1" t="s">
        <v>104</v>
      </c>
      <c r="I878" s="1" t="s">
        <v>27</v>
      </c>
      <c r="J878" s="1">
        <v>1</v>
      </c>
      <c r="K878" s="1">
        <v>11.3</v>
      </c>
      <c r="L878" s="1">
        <v>20</v>
      </c>
      <c r="M878" s="16">
        <f t="shared" si="13"/>
        <v>9.0400000000000009</v>
      </c>
      <c r="N878" s="1">
        <v>0</v>
      </c>
    </row>
    <row r="879" spans="1:14">
      <c r="A879" s="2">
        <v>46083</v>
      </c>
      <c r="B879" s="1">
        <v>1449</v>
      </c>
      <c r="C879" s="1">
        <v>109</v>
      </c>
      <c r="D879" s="1" t="s">
        <v>24</v>
      </c>
      <c r="E879" s="1" t="s">
        <v>25</v>
      </c>
      <c r="F879" s="1" t="s">
        <v>19</v>
      </c>
      <c r="G879" s="1">
        <v>23</v>
      </c>
      <c r="H879" s="1" t="s">
        <v>98</v>
      </c>
      <c r="I879" s="1" t="s">
        <v>37</v>
      </c>
      <c r="J879" s="1">
        <v>1</v>
      </c>
      <c r="K879" s="1">
        <v>38.14</v>
      </c>
      <c r="L879" s="1">
        <v>20</v>
      </c>
      <c r="M879" s="16">
        <f t="shared" si="13"/>
        <v>30.512</v>
      </c>
      <c r="N879" s="1">
        <v>0</v>
      </c>
    </row>
    <row r="880" spans="1:14">
      <c r="A880" s="2">
        <v>46267</v>
      </c>
      <c r="B880" s="1">
        <v>1468</v>
      </c>
      <c r="C880" s="1">
        <v>109</v>
      </c>
      <c r="D880" s="1" t="s">
        <v>24</v>
      </c>
      <c r="E880" s="1" t="s">
        <v>25</v>
      </c>
      <c r="F880" s="1" t="s">
        <v>19</v>
      </c>
      <c r="G880" s="1">
        <v>31</v>
      </c>
      <c r="H880" s="1" t="s">
        <v>30</v>
      </c>
      <c r="I880" s="1" t="s">
        <v>31</v>
      </c>
      <c r="J880" s="1">
        <v>1</v>
      </c>
      <c r="K880" s="1">
        <v>57.51</v>
      </c>
      <c r="L880" s="1">
        <v>0</v>
      </c>
      <c r="M880" s="16">
        <f t="shared" si="13"/>
        <v>57.51</v>
      </c>
      <c r="N880" s="1">
        <v>0</v>
      </c>
    </row>
    <row r="881" spans="1:14">
      <c r="A881" s="2">
        <v>46075</v>
      </c>
      <c r="B881" s="1">
        <v>1522</v>
      </c>
      <c r="C881" s="1">
        <v>109</v>
      </c>
      <c r="D881" s="1" t="s">
        <v>24</v>
      </c>
      <c r="E881" s="1" t="s">
        <v>25</v>
      </c>
      <c r="F881" s="1" t="s">
        <v>19</v>
      </c>
      <c r="G881" s="1">
        <v>2</v>
      </c>
      <c r="H881" s="1" t="s">
        <v>80</v>
      </c>
      <c r="I881" s="1" t="s">
        <v>21</v>
      </c>
      <c r="J881" s="1">
        <v>1</v>
      </c>
      <c r="K881" s="1">
        <v>64.02</v>
      </c>
      <c r="L881" s="1">
        <v>0</v>
      </c>
      <c r="M881" s="16">
        <f t="shared" si="13"/>
        <v>64.02</v>
      </c>
      <c r="N881" s="1">
        <v>0</v>
      </c>
    </row>
    <row r="882" spans="1:14">
      <c r="A882" s="2">
        <v>46075</v>
      </c>
      <c r="B882" s="1">
        <v>1522</v>
      </c>
      <c r="C882" s="1">
        <v>109</v>
      </c>
      <c r="D882" s="1" t="s">
        <v>24</v>
      </c>
      <c r="E882" s="1" t="s">
        <v>25</v>
      </c>
      <c r="F882" s="1" t="s">
        <v>19</v>
      </c>
      <c r="G882" s="1">
        <v>37</v>
      </c>
      <c r="H882" s="1" t="s">
        <v>26</v>
      </c>
      <c r="I882" s="1" t="s">
        <v>27</v>
      </c>
      <c r="J882" s="1">
        <v>1</v>
      </c>
      <c r="K882" s="1">
        <v>52.67</v>
      </c>
      <c r="L882" s="1">
        <v>10</v>
      </c>
      <c r="M882" s="16">
        <f t="shared" si="13"/>
        <v>47.403000000000006</v>
      </c>
      <c r="N882" s="1">
        <v>0</v>
      </c>
    </row>
    <row r="883" spans="1:14">
      <c r="A883" s="2">
        <v>46075</v>
      </c>
      <c r="B883" s="1">
        <v>1522</v>
      </c>
      <c r="C883" s="1">
        <v>109</v>
      </c>
      <c r="D883" s="1" t="s">
        <v>24</v>
      </c>
      <c r="E883" s="1" t="s">
        <v>25</v>
      </c>
      <c r="F883" s="1" t="s">
        <v>19</v>
      </c>
      <c r="G883" s="1">
        <v>30</v>
      </c>
      <c r="H883" s="1" t="s">
        <v>57</v>
      </c>
      <c r="I883" s="1" t="s">
        <v>31</v>
      </c>
      <c r="J883" s="1">
        <v>1</v>
      </c>
      <c r="K883" s="1">
        <v>41.49</v>
      </c>
      <c r="L883" s="1">
        <v>0</v>
      </c>
      <c r="M883" s="16">
        <f t="shared" si="13"/>
        <v>41.49</v>
      </c>
      <c r="N883" s="1">
        <v>0</v>
      </c>
    </row>
    <row r="884" spans="1:14">
      <c r="A884" s="2">
        <v>46075</v>
      </c>
      <c r="B884" s="1">
        <v>1044</v>
      </c>
      <c r="C884" s="1">
        <v>109</v>
      </c>
      <c r="D884" s="1" t="s">
        <v>24</v>
      </c>
      <c r="E884" s="1" t="s">
        <v>25</v>
      </c>
      <c r="F884" s="1" t="s">
        <v>19</v>
      </c>
      <c r="G884" s="1">
        <v>8</v>
      </c>
      <c r="H884" s="1" t="s">
        <v>84</v>
      </c>
      <c r="I884" s="1" t="s">
        <v>21</v>
      </c>
      <c r="J884" s="1">
        <v>1</v>
      </c>
      <c r="K884" s="1">
        <v>16.72</v>
      </c>
      <c r="L884" s="1">
        <v>0</v>
      </c>
      <c r="M884" s="16">
        <f t="shared" si="13"/>
        <v>16.72</v>
      </c>
      <c r="N884" s="1">
        <v>0</v>
      </c>
    </row>
    <row r="885" spans="1:14">
      <c r="A885" s="2">
        <v>46079</v>
      </c>
      <c r="B885" s="1">
        <v>1533</v>
      </c>
      <c r="C885" s="1">
        <v>109</v>
      </c>
      <c r="D885" s="1" t="s">
        <v>24</v>
      </c>
      <c r="E885" s="1" t="s">
        <v>25</v>
      </c>
      <c r="F885" s="1" t="s">
        <v>19</v>
      </c>
      <c r="G885" s="1">
        <v>31</v>
      </c>
      <c r="H885" s="1" t="s">
        <v>30</v>
      </c>
      <c r="I885" s="1" t="s">
        <v>31</v>
      </c>
      <c r="J885" s="1">
        <v>1</v>
      </c>
      <c r="K885" s="1">
        <v>57.51</v>
      </c>
      <c r="L885" s="1">
        <v>0</v>
      </c>
      <c r="M885" s="16">
        <f t="shared" si="13"/>
        <v>57.51</v>
      </c>
      <c r="N885" s="1">
        <v>0</v>
      </c>
    </row>
    <row r="886" spans="1:14">
      <c r="A886" s="2">
        <v>46080</v>
      </c>
      <c r="B886" s="1">
        <v>1539</v>
      </c>
      <c r="C886" s="1">
        <v>109</v>
      </c>
      <c r="D886" s="1" t="s">
        <v>24</v>
      </c>
      <c r="E886" s="1" t="s">
        <v>186</v>
      </c>
      <c r="F886" s="1" t="s">
        <v>19</v>
      </c>
      <c r="G886" s="1">
        <v>27</v>
      </c>
      <c r="H886" s="1" t="s">
        <v>89</v>
      </c>
      <c r="I886" s="1" t="s">
        <v>37</v>
      </c>
      <c r="J886" s="1">
        <v>1</v>
      </c>
      <c r="K886" s="1">
        <v>27.3</v>
      </c>
      <c r="L886" s="1">
        <v>10</v>
      </c>
      <c r="M886" s="16">
        <f t="shared" si="13"/>
        <v>24.57</v>
      </c>
      <c r="N886" s="1">
        <v>0</v>
      </c>
    </row>
    <row r="887" spans="1:14">
      <c r="A887" s="2">
        <v>46080</v>
      </c>
      <c r="B887" s="1">
        <v>1539</v>
      </c>
      <c r="C887" s="1">
        <v>109</v>
      </c>
      <c r="D887" s="1" t="s">
        <v>24</v>
      </c>
      <c r="E887" s="1" t="s">
        <v>25</v>
      </c>
      <c r="F887" s="1" t="s">
        <v>19</v>
      </c>
      <c r="G887" s="1">
        <v>17</v>
      </c>
      <c r="H887" s="1" t="s">
        <v>60</v>
      </c>
      <c r="I887" s="1" t="s">
        <v>17</v>
      </c>
      <c r="J887" s="1">
        <v>1</v>
      </c>
      <c r="K887" s="1">
        <v>6.61</v>
      </c>
      <c r="L887" s="1">
        <v>0</v>
      </c>
      <c r="M887" s="16">
        <f t="shared" si="13"/>
        <v>6.61</v>
      </c>
      <c r="N887" s="1">
        <v>0</v>
      </c>
    </row>
    <row r="888" spans="1:14">
      <c r="A888" s="2">
        <v>46080</v>
      </c>
      <c r="B888" s="1">
        <v>1539</v>
      </c>
      <c r="C888" s="1">
        <v>109</v>
      </c>
      <c r="D888" s="1" t="s">
        <v>24</v>
      </c>
      <c r="E888" s="1" t="s">
        <v>25</v>
      </c>
      <c r="F888" s="1" t="s">
        <v>19</v>
      </c>
      <c r="G888" s="1">
        <v>28</v>
      </c>
      <c r="H888" s="1" t="s">
        <v>51</v>
      </c>
      <c r="I888" s="1" t="s">
        <v>37</v>
      </c>
      <c r="J888" s="1">
        <v>1</v>
      </c>
      <c r="K888" s="1">
        <v>21.24</v>
      </c>
      <c r="L888" s="1">
        <v>0</v>
      </c>
      <c r="M888" s="16">
        <f t="shared" si="13"/>
        <v>21.24</v>
      </c>
      <c r="N888" s="1">
        <v>0</v>
      </c>
    </row>
    <row r="889" spans="1:14">
      <c r="A889" s="2">
        <v>45942</v>
      </c>
      <c r="B889" s="1">
        <v>1251</v>
      </c>
      <c r="C889" s="1">
        <f>_xlfn.XLOOKUP(D889,'Customer Data'!B:B,'Customer Data'!A:A,"Not Found")</f>
        <v>109</v>
      </c>
      <c r="D889" s="1" t="s">
        <v>24</v>
      </c>
      <c r="E889" s="1" t="s">
        <v>25</v>
      </c>
      <c r="F889" s="1" t="s">
        <v>19</v>
      </c>
      <c r="G889" s="1">
        <v>7</v>
      </c>
      <c r="H889" s="1" t="s">
        <v>46</v>
      </c>
      <c r="I889" s="1" t="s">
        <v>21</v>
      </c>
      <c r="J889" s="1">
        <v>1</v>
      </c>
      <c r="K889" s="1">
        <v>79.39</v>
      </c>
      <c r="L889" s="1">
        <v>5</v>
      </c>
      <c r="M889" s="16">
        <f t="shared" si="13"/>
        <v>75.420500000000004</v>
      </c>
      <c r="N889" s="1">
        <v>0</v>
      </c>
    </row>
    <row r="890" spans="1:14">
      <c r="A890" s="2">
        <v>46004</v>
      </c>
      <c r="B890" s="1">
        <v>1273</v>
      </c>
      <c r="C890" s="1">
        <f>_xlfn.XLOOKUP(D890,'Customer Data'!B:B,'Customer Data'!A:A,"Not Found")</f>
        <v>109</v>
      </c>
      <c r="D890" s="1" t="s">
        <v>24</v>
      </c>
      <c r="E890" s="1" t="s">
        <v>25</v>
      </c>
      <c r="F890" s="1" t="s">
        <v>19</v>
      </c>
      <c r="G890" s="1">
        <v>8</v>
      </c>
      <c r="H890" s="1" t="s">
        <v>84</v>
      </c>
      <c r="I890" s="1" t="s">
        <v>21</v>
      </c>
      <c r="J890" s="1">
        <v>1</v>
      </c>
      <c r="K890" s="1">
        <v>16.72</v>
      </c>
      <c r="L890" s="1">
        <v>5</v>
      </c>
      <c r="M890" s="16">
        <f t="shared" si="13"/>
        <v>15.883999999999999</v>
      </c>
      <c r="N890" s="1">
        <v>1</v>
      </c>
    </row>
    <row r="891" spans="1:14">
      <c r="A891" s="2">
        <v>46054</v>
      </c>
      <c r="B891" s="1">
        <v>1367</v>
      </c>
      <c r="C891" s="1">
        <f>_xlfn.XLOOKUP(D891,'Customer Data'!B:B,'Customer Data'!A:A,"Not Found")</f>
        <v>109</v>
      </c>
      <c r="D891" s="1" t="s">
        <v>24</v>
      </c>
      <c r="E891" s="1" t="s">
        <v>25</v>
      </c>
      <c r="F891" s="1" t="s">
        <v>19</v>
      </c>
      <c r="G891" s="1">
        <v>24</v>
      </c>
      <c r="H891" s="1" t="s">
        <v>44</v>
      </c>
      <c r="I891" s="1" t="s">
        <v>37</v>
      </c>
      <c r="J891" s="1">
        <v>3</v>
      </c>
      <c r="K891" s="1">
        <v>43.42</v>
      </c>
      <c r="L891" s="1">
        <v>0</v>
      </c>
      <c r="M891" s="16">
        <f t="shared" si="13"/>
        <v>130.26</v>
      </c>
      <c r="N891" s="1">
        <v>0</v>
      </c>
    </row>
    <row r="892" spans="1:14">
      <c r="A892" s="2">
        <v>46267</v>
      </c>
      <c r="B892" s="1">
        <v>1468</v>
      </c>
      <c r="C892" s="1">
        <f>_xlfn.XLOOKUP(D892,'Customer Data'!B:B,'Customer Data'!A:A,"Not Found")</f>
        <v>109</v>
      </c>
      <c r="D892" s="1" t="s">
        <v>24</v>
      </c>
      <c r="E892" s="1" t="s">
        <v>25</v>
      </c>
      <c r="F892" s="1" t="s">
        <v>19</v>
      </c>
      <c r="G892" s="1">
        <v>35</v>
      </c>
      <c r="H892" s="1" t="s">
        <v>104</v>
      </c>
      <c r="I892" s="1" t="s">
        <v>27</v>
      </c>
      <c r="J892" s="1">
        <v>1</v>
      </c>
      <c r="K892" s="1">
        <v>11.3</v>
      </c>
      <c r="L892" s="1">
        <v>10</v>
      </c>
      <c r="M892" s="16">
        <f t="shared" si="13"/>
        <v>10.170000000000002</v>
      </c>
      <c r="N892" s="1">
        <v>0</v>
      </c>
    </row>
    <row r="893" spans="1:14">
      <c r="A893" s="2">
        <v>45759</v>
      </c>
      <c r="B893" s="1">
        <v>1044</v>
      </c>
      <c r="C893" s="1">
        <v>110</v>
      </c>
      <c r="D893" s="1" t="s">
        <v>145</v>
      </c>
      <c r="E893" s="1" t="s">
        <v>29</v>
      </c>
      <c r="F893" s="1" t="s">
        <v>41</v>
      </c>
      <c r="G893" s="1">
        <v>26</v>
      </c>
      <c r="H893" s="1" t="s">
        <v>83</v>
      </c>
      <c r="I893" s="1" t="s">
        <v>37</v>
      </c>
      <c r="J893" s="1">
        <v>1</v>
      </c>
      <c r="K893" s="1">
        <v>31.76</v>
      </c>
      <c r="L893" s="1">
        <v>0</v>
      </c>
      <c r="M893" s="16">
        <f t="shared" si="13"/>
        <v>31.76</v>
      </c>
      <c r="N893" s="1">
        <v>0</v>
      </c>
    </row>
    <row r="894" spans="1:14">
      <c r="A894" s="2">
        <v>45942</v>
      </c>
      <c r="B894" s="1">
        <v>1252</v>
      </c>
      <c r="C894" s="1">
        <v>110</v>
      </c>
      <c r="D894" s="1" t="s">
        <v>145</v>
      </c>
      <c r="E894" s="1" t="s">
        <v>29</v>
      </c>
      <c r="F894" s="1" t="s">
        <v>41</v>
      </c>
      <c r="G894" s="1">
        <v>24</v>
      </c>
      <c r="H894" s="1" t="s">
        <v>44</v>
      </c>
      <c r="I894" s="1" t="s">
        <v>37</v>
      </c>
      <c r="J894" s="1">
        <v>2</v>
      </c>
      <c r="K894" s="1">
        <v>43.42</v>
      </c>
      <c r="L894" s="1">
        <v>20</v>
      </c>
      <c r="M894" s="16">
        <f t="shared" si="13"/>
        <v>69.472000000000008</v>
      </c>
      <c r="N894" s="1">
        <v>0</v>
      </c>
    </row>
    <row r="895" spans="1:14">
      <c r="A895" s="2">
        <v>46035</v>
      </c>
      <c r="B895" s="1">
        <v>1401</v>
      </c>
      <c r="C895" s="1">
        <v>110</v>
      </c>
      <c r="D895" s="1" t="s">
        <v>145</v>
      </c>
      <c r="E895" s="1" t="s">
        <v>29</v>
      </c>
      <c r="F895" s="1" t="s">
        <v>41</v>
      </c>
      <c r="G895" s="1">
        <v>16</v>
      </c>
      <c r="H895" s="1" t="s">
        <v>77</v>
      </c>
      <c r="I895" s="1" t="s">
        <v>17</v>
      </c>
      <c r="J895" s="1">
        <v>2</v>
      </c>
      <c r="K895" s="1">
        <v>11.81</v>
      </c>
      <c r="L895" s="1">
        <v>0</v>
      </c>
      <c r="M895" s="16">
        <f t="shared" si="13"/>
        <v>23.62</v>
      </c>
      <c r="N895" s="1">
        <v>0</v>
      </c>
    </row>
    <row r="896" spans="1:14">
      <c r="A896" s="2">
        <v>46035</v>
      </c>
      <c r="B896" s="1">
        <v>1401</v>
      </c>
      <c r="C896" s="1">
        <v>110</v>
      </c>
      <c r="D896" s="1" t="s">
        <v>145</v>
      </c>
      <c r="E896" s="1" t="s">
        <v>29</v>
      </c>
      <c r="F896" s="1" t="s">
        <v>41</v>
      </c>
      <c r="G896" s="1">
        <v>16</v>
      </c>
      <c r="H896" s="1" t="s">
        <v>77</v>
      </c>
      <c r="I896" s="1" t="s">
        <v>17</v>
      </c>
      <c r="J896" s="1">
        <v>2</v>
      </c>
      <c r="K896" s="1">
        <v>11.81</v>
      </c>
      <c r="L896" s="1">
        <v>0</v>
      </c>
      <c r="M896" s="16">
        <f t="shared" si="13"/>
        <v>23.62</v>
      </c>
      <c r="N896" s="1">
        <v>0</v>
      </c>
    </row>
    <row r="897" spans="1:14">
      <c r="A897" s="2">
        <v>46050</v>
      </c>
      <c r="B897" s="1">
        <v>1438</v>
      </c>
      <c r="C897" s="1">
        <v>110</v>
      </c>
      <c r="D897" s="1" t="s">
        <v>145</v>
      </c>
      <c r="E897" s="1" t="s">
        <v>29</v>
      </c>
      <c r="F897" s="1" t="s">
        <v>41</v>
      </c>
      <c r="G897" s="1">
        <v>33</v>
      </c>
      <c r="H897" s="1" t="s">
        <v>42</v>
      </c>
      <c r="I897" s="1" t="s">
        <v>31</v>
      </c>
      <c r="J897" s="1">
        <v>1</v>
      </c>
      <c r="K897" s="1">
        <v>40.94</v>
      </c>
      <c r="L897" s="1">
        <v>0</v>
      </c>
      <c r="M897" s="16">
        <f t="shared" si="13"/>
        <v>40.94</v>
      </c>
      <c r="N897" s="1">
        <v>0</v>
      </c>
    </row>
    <row r="898" spans="1:14">
      <c r="A898" s="2">
        <v>46328</v>
      </c>
      <c r="B898" s="1">
        <v>1476</v>
      </c>
      <c r="C898" s="1">
        <v>110</v>
      </c>
      <c r="D898" s="1" t="s">
        <v>145</v>
      </c>
      <c r="E898" s="1" t="s">
        <v>29</v>
      </c>
      <c r="F898" s="1" t="s">
        <v>41</v>
      </c>
      <c r="G898" s="1">
        <v>26</v>
      </c>
      <c r="H898" s="1" t="s">
        <v>83</v>
      </c>
      <c r="I898" s="1" t="s">
        <v>37</v>
      </c>
      <c r="J898" s="1">
        <v>2</v>
      </c>
      <c r="K898" s="1">
        <v>31.76</v>
      </c>
      <c r="L898" s="1">
        <v>0</v>
      </c>
      <c r="M898" s="16">
        <f t="shared" si="13"/>
        <v>63.52</v>
      </c>
      <c r="N898" s="1">
        <v>0</v>
      </c>
    </row>
    <row r="899" spans="1:14">
      <c r="A899" s="2">
        <v>46080</v>
      </c>
      <c r="B899" s="1">
        <v>1540</v>
      </c>
      <c r="C899" s="1">
        <v>110</v>
      </c>
      <c r="D899" s="1" t="s">
        <v>145</v>
      </c>
      <c r="E899" s="1" t="s">
        <v>29</v>
      </c>
      <c r="F899" s="1" t="s">
        <v>41</v>
      </c>
      <c r="G899" s="1">
        <v>24</v>
      </c>
      <c r="H899" s="1" t="s">
        <v>44</v>
      </c>
      <c r="I899" s="1" t="s">
        <v>37</v>
      </c>
      <c r="J899" s="1">
        <v>1</v>
      </c>
      <c r="K899" s="1">
        <v>43.42</v>
      </c>
      <c r="L899" s="1">
        <v>0</v>
      </c>
      <c r="M899" s="16">
        <f t="shared" ref="M899:M962" si="14">J899*K899*(1-L899/100)</f>
        <v>43.42</v>
      </c>
      <c r="N899" s="1">
        <v>0</v>
      </c>
    </row>
    <row r="900" spans="1:14">
      <c r="A900" s="2">
        <v>46080</v>
      </c>
      <c r="B900" s="1">
        <v>1540</v>
      </c>
      <c r="C900" s="1">
        <v>110</v>
      </c>
      <c r="D900" s="1" t="s">
        <v>145</v>
      </c>
      <c r="E900" s="1" t="s">
        <v>29</v>
      </c>
      <c r="F900" s="1" t="s">
        <v>41</v>
      </c>
      <c r="G900" s="1">
        <v>38</v>
      </c>
      <c r="H900" s="1" t="s">
        <v>70</v>
      </c>
      <c r="I900" s="1" t="s">
        <v>27</v>
      </c>
      <c r="J900" s="1">
        <v>1</v>
      </c>
      <c r="K900" s="1">
        <v>25.14</v>
      </c>
      <c r="L900" s="1">
        <v>0</v>
      </c>
      <c r="M900" s="16">
        <f t="shared" si="14"/>
        <v>25.14</v>
      </c>
      <c r="N900" s="1">
        <v>0</v>
      </c>
    </row>
    <row r="901" spans="1:14">
      <c r="A901" s="2">
        <v>45986</v>
      </c>
      <c r="B901" s="1">
        <v>1044</v>
      </c>
      <c r="C901" s="1">
        <f>_xlfn.XLOOKUP(D901,'Customer Data'!B:B,'Customer Data'!A:A,"Not Found")</f>
        <v>110</v>
      </c>
      <c r="D901" s="1" t="s">
        <v>145</v>
      </c>
      <c r="E901" s="1" t="s">
        <v>146</v>
      </c>
      <c r="F901" s="1" t="s">
        <v>41</v>
      </c>
      <c r="G901" s="1">
        <v>39</v>
      </c>
      <c r="H901" s="1" t="s">
        <v>36</v>
      </c>
      <c r="I901" s="1" t="s">
        <v>27</v>
      </c>
      <c r="J901" s="1">
        <v>2</v>
      </c>
      <c r="K901" s="1">
        <v>38.869999999999997</v>
      </c>
      <c r="L901" s="1">
        <v>0</v>
      </c>
      <c r="M901" s="16">
        <f t="shared" si="14"/>
        <v>77.739999999999995</v>
      </c>
      <c r="N901" s="1">
        <v>0</v>
      </c>
    </row>
    <row r="902" spans="1:14">
      <c r="A902" s="2">
        <v>45982</v>
      </c>
      <c r="B902" s="1">
        <v>1162</v>
      </c>
      <c r="C902" s="1">
        <v>112</v>
      </c>
      <c r="D902" s="1" t="s">
        <v>140</v>
      </c>
      <c r="E902" s="1" t="s">
        <v>29</v>
      </c>
      <c r="F902" s="1" t="s">
        <v>41</v>
      </c>
      <c r="G902" s="1">
        <v>15</v>
      </c>
      <c r="H902" s="1" t="s">
        <v>48</v>
      </c>
      <c r="I902" s="1" t="s">
        <v>33</v>
      </c>
      <c r="J902" s="1">
        <v>3</v>
      </c>
      <c r="K902" s="1">
        <v>47.71</v>
      </c>
      <c r="L902" s="1">
        <v>0</v>
      </c>
      <c r="M902" s="16">
        <f t="shared" si="14"/>
        <v>143.13</v>
      </c>
      <c r="N902" s="1">
        <v>0</v>
      </c>
    </row>
    <row r="903" spans="1:14">
      <c r="A903" s="2">
        <v>46015</v>
      </c>
      <c r="B903" s="1">
        <v>1322</v>
      </c>
      <c r="C903" s="1">
        <v>112</v>
      </c>
      <c r="D903" s="1" t="s">
        <v>140</v>
      </c>
      <c r="E903" s="1" t="s">
        <v>29</v>
      </c>
      <c r="F903" s="1" t="s">
        <v>35</v>
      </c>
      <c r="G903" s="1">
        <v>31</v>
      </c>
      <c r="H903" s="1" t="s">
        <v>30</v>
      </c>
      <c r="I903" s="1" t="s">
        <v>31</v>
      </c>
      <c r="J903" s="1">
        <v>1</v>
      </c>
      <c r="K903" s="1">
        <v>57.51</v>
      </c>
      <c r="L903" s="1">
        <v>15</v>
      </c>
      <c r="M903" s="16">
        <f t="shared" si="14"/>
        <v>48.883499999999998</v>
      </c>
      <c r="N903" s="1">
        <v>0</v>
      </c>
    </row>
    <row r="904" spans="1:14">
      <c r="A904" s="2">
        <v>46016</v>
      </c>
      <c r="B904" s="1">
        <v>1503</v>
      </c>
      <c r="C904" s="1">
        <v>112</v>
      </c>
      <c r="D904" s="1" t="s">
        <v>140</v>
      </c>
      <c r="E904" s="1" t="s">
        <v>29</v>
      </c>
      <c r="F904" s="1" t="s">
        <v>41</v>
      </c>
      <c r="G904" s="1">
        <v>12</v>
      </c>
      <c r="H904" s="1" t="s">
        <v>215</v>
      </c>
      <c r="I904" s="1" t="s">
        <v>33</v>
      </c>
      <c r="J904" s="1">
        <v>1</v>
      </c>
      <c r="K904" s="1">
        <v>8.4499999999999993</v>
      </c>
      <c r="L904" s="1">
        <v>25</v>
      </c>
      <c r="M904" s="16">
        <f t="shared" si="14"/>
        <v>6.3374999999999995</v>
      </c>
      <c r="N904" s="1">
        <v>0</v>
      </c>
    </row>
    <row r="905" spans="1:14">
      <c r="A905" s="2">
        <v>46072</v>
      </c>
      <c r="B905" s="1">
        <v>1503</v>
      </c>
      <c r="C905" s="1">
        <v>112</v>
      </c>
      <c r="D905" s="1" t="s">
        <v>140</v>
      </c>
      <c r="E905" s="1" t="s">
        <v>29</v>
      </c>
      <c r="F905" s="1" t="s">
        <v>41</v>
      </c>
      <c r="G905" s="1">
        <v>24</v>
      </c>
      <c r="H905" s="1" t="s">
        <v>44</v>
      </c>
      <c r="I905" s="1" t="s">
        <v>37</v>
      </c>
      <c r="J905" s="1">
        <v>1</v>
      </c>
      <c r="K905" s="1">
        <v>43.42</v>
      </c>
      <c r="L905" s="1">
        <v>20</v>
      </c>
      <c r="M905" s="16">
        <f t="shared" si="14"/>
        <v>34.736000000000004</v>
      </c>
      <c r="N905" s="1">
        <v>0</v>
      </c>
    </row>
    <row r="906" spans="1:14">
      <c r="A906" s="2">
        <v>45974</v>
      </c>
      <c r="B906" s="1">
        <v>1121</v>
      </c>
      <c r="C906" s="1">
        <v>113</v>
      </c>
      <c r="D906" s="1" t="s">
        <v>128</v>
      </c>
      <c r="E906" s="1" t="s">
        <v>40</v>
      </c>
      <c r="F906" s="1" t="s">
        <v>41</v>
      </c>
      <c r="G906" s="1">
        <v>16</v>
      </c>
      <c r="H906" s="1" t="s">
        <v>77</v>
      </c>
      <c r="I906" s="1" t="s">
        <v>17</v>
      </c>
      <c r="J906" s="1">
        <v>1</v>
      </c>
      <c r="K906" s="1">
        <v>11.81</v>
      </c>
      <c r="L906" s="1">
        <v>0</v>
      </c>
      <c r="M906" s="16">
        <f t="shared" si="14"/>
        <v>11.81</v>
      </c>
      <c r="N906" s="1">
        <v>0</v>
      </c>
    </row>
    <row r="907" spans="1:14">
      <c r="A907" s="2">
        <v>45974</v>
      </c>
      <c r="B907" s="1">
        <v>1121</v>
      </c>
      <c r="C907" s="1">
        <v>113</v>
      </c>
      <c r="D907" s="1" t="s">
        <v>128</v>
      </c>
      <c r="E907" s="1" t="s">
        <v>40</v>
      </c>
      <c r="F907" s="1" t="s">
        <v>41</v>
      </c>
      <c r="G907" s="1">
        <v>27</v>
      </c>
      <c r="H907" s="1" t="s">
        <v>89</v>
      </c>
      <c r="I907" s="1" t="s">
        <v>129</v>
      </c>
      <c r="J907" s="1">
        <v>1</v>
      </c>
      <c r="K907" s="1">
        <v>27.3</v>
      </c>
      <c r="L907" s="1">
        <v>0</v>
      </c>
      <c r="M907" s="16">
        <f t="shared" si="14"/>
        <v>27.3</v>
      </c>
      <c r="N907" s="1">
        <v>0</v>
      </c>
    </row>
    <row r="908" spans="1:14">
      <c r="A908" s="2">
        <v>46021</v>
      </c>
      <c r="B908" s="1">
        <v>1360</v>
      </c>
      <c r="C908" s="1">
        <v>113</v>
      </c>
      <c r="D908" s="1" t="s">
        <v>128</v>
      </c>
      <c r="E908" s="1" t="s">
        <v>40</v>
      </c>
      <c r="F908" s="1" t="s">
        <v>41</v>
      </c>
      <c r="G908" s="1">
        <v>21</v>
      </c>
      <c r="H908" s="1" t="s">
        <v>97</v>
      </c>
      <c r="I908" s="1" t="s">
        <v>17</v>
      </c>
      <c r="J908" s="1">
        <v>1</v>
      </c>
      <c r="K908" s="1">
        <v>49.37</v>
      </c>
      <c r="L908" s="1">
        <v>0</v>
      </c>
      <c r="M908" s="16">
        <f t="shared" si="14"/>
        <v>49.37</v>
      </c>
      <c r="N908" s="1">
        <v>0</v>
      </c>
    </row>
    <row r="909" spans="1:14">
      <c r="A909" s="2">
        <v>46021</v>
      </c>
      <c r="B909" s="1">
        <v>1360</v>
      </c>
      <c r="C909" s="1">
        <v>113</v>
      </c>
      <c r="D909" s="1" t="s">
        <v>128</v>
      </c>
      <c r="E909" s="1" t="s">
        <v>40</v>
      </c>
      <c r="F909" s="1" t="s">
        <v>41</v>
      </c>
      <c r="G909" s="1">
        <v>15</v>
      </c>
      <c r="H909" s="1" t="s">
        <v>48</v>
      </c>
      <c r="I909" s="1" t="s">
        <v>33</v>
      </c>
      <c r="J909" s="1">
        <v>2</v>
      </c>
      <c r="K909" s="1">
        <v>47.71</v>
      </c>
      <c r="L909" s="1">
        <v>0</v>
      </c>
      <c r="M909" s="16">
        <f t="shared" si="14"/>
        <v>95.42</v>
      </c>
      <c r="N909" s="1">
        <v>0</v>
      </c>
    </row>
    <row r="910" spans="1:14">
      <c r="A910" s="2">
        <v>46021</v>
      </c>
      <c r="B910" s="1">
        <v>1360</v>
      </c>
      <c r="C910" s="1">
        <v>113</v>
      </c>
      <c r="D910" s="1" t="s">
        <v>128</v>
      </c>
      <c r="E910" s="1" t="s">
        <v>40</v>
      </c>
      <c r="F910" s="1" t="s">
        <v>41</v>
      </c>
      <c r="G910" s="1">
        <v>8</v>
      </c>
      <c r="H910" s="1" t="s">
        <v>84</v>
      </c>
      <c r="I910" s="1" t="s">
        <v>21</v>
      </c>
      <c r="J910" s="1">
        <v>1</v>
      </c>
      <c r="K910" s="1">
        <v>16.72</v>
      </c>
      <c r="L910" s="1">
        <v>0</v>
      </c>
      <c r="M910" s="16">
        <f t="shared" si="14"/>
        <v>16.72</v>
      </c>
      <c r="N910" s="1">
        <v>0</v>
      </c>
    </row>
    <row r="911" spans="1:14">
      <c r="A911" s="2">
        <v>46055</v>
      </c>
      <c r="B911" s="1">
        <v>1448</v>
      </c>
      <c r="C911" s="1">
        <v>113</v>
      </c>
      <c r="D911" s="1" t="s">
        <v>128</v>
      </c>
      <c r="E911" s="1" t="s">
        <v>40</v>
      </c>
      <c r="F911" s="1" t="s">
        <v>41</v>
      </c>
      <c r="G911" s="1">
        <v>34</v>
      </c>
      <c r="H911" s="1" t="s">
        <v>130</v>
      </c>
      <c r="I911" s="1" t="s">
        <v>31</v>
      </c>
      <c r="J911" s="1">
        <v>1</v>
      </c>
      <c r="K911" s="1">
        <v>58.26</v>
      </c>
      <c r="L911" s="1">
        <v>0</v>
      </c>
      <c r="M911" s="16">
        <f t="shared" si="14"/>
        <v>58.26</v>
      </c>
      <c r="N911" s="1">
        <v>0</v>
      </c>
    </row>
    <row r="912" spans="1:14">
      <c r="A912" s="2">
        <v>45990</v>
      </c>
      <c r="B912" s="1">
        <v>1197</v>
      </c>
      <c r="C912" s="1">
        <v>114</v>
      </c>
      <c r="D912" s="1" t="s">
        <v>86</v>
      </c>
      <c r="E912" s="1" t="s">
        <v>40</v>
      </c>
      <c r="F912" s="1" t="s">
        <v>41</v>
      </c>
      <c r="G912" s="1">
        <v>27</v>
      </c>
      <c r="H912" s="1" t="s">
        <v>89</v>
      </c>
      <c r="I912" s="14" t="str">
        <f>_xlfn.XLOOKUP(H912,'Product Data'!$B$2:$B$100,'Product Data'!$C$2:$C$100,"Not Found")</f>
        <v>Beauty</v>
      </c>
      <c r="J912" s="1">
        <v>1</v>
      </c>
      <c r="K912" s="1">
        <v>27.3</v>
      </c>
      <c r="L912" s="1">
        <v>10</v>
      </c>
      <c r="M912" s="16">
        <f t="shared" si="14"/>
        <v>24.57</v>
      </c>
      <c r="N912" s="1">
        <v>0</v>
      </c>
    </row>
    <row r="913" spans="1:14">
      <c r="A913" s="2">
        <v>45990</v>
      </c>
      <c r="B913" s="1">
        <v>1197</v>
      </c>
      <c r="C913" s="1">
        <v>114</v>
      </c>
      <c r="D913" s="1" t="s">
        <v>86</v>
      </c>
      <c r="E913" s="1" t="s">
        <v>40</v>
      </c>
      <c r="F913" s="1" t="s">
        <v>41</v>
      </c>
      <c r="G913" s="1">
        <v>22</v>
      </c>
      <c r="H913" s="1" t="s">
        <v>75</v>
      </c>
      <c r="I913" s="1" t="s">
        <v>17</v>
      </c>
      <c r="J913" s="1">
        <v>1</v>
      </c>
      <c r="K913" s="1">
        <v>38.869999999999997</v>
      </c>
      <c r="L913" s="1">
        <v>15</v>
      </c>
      <c r="M913" s="16">
        <f t="shared" si="14"/>
        <v>33.039499999999997</v>
      </c>
      <c r="N913" s="1">
        <v>0</v>
      </c>
    </row>
    <row r="914" spans="1:14">
      <c r="A914" s="2">
        <v>45669</v>
      </c>
      <c r="B914" s="1">
        <v>1211</v>
      </c>
      <c r="C914" s="1">
        <v>114</v>
      </c>
      <c r="D914" s="1" t="s">
        <v>86</v>
      </c>
      <c r="E914" s="1" t="s">
        <v>40</v>
      </c>
      <c r="F914" s="1" t="s">
        <v>41</v>
      </c>
      <c r="G914" s="1">
        <v>15</v>
      </c>
      <c r="H914" s="1" t="s">
        <v>48</v>
      </c>
      <c r="I914" s="1" t="s">
        <v>33</v>
      </c>
      <c r="J914" s="1">
        <v>2</v>
      </c>
      <c r="K914" s="1">
        <v>47.71</v>
      </c>
      <c r="L914" s="1">
        <v>10</v>
      </c>
      <c r="M914" s="16">
        <f t="shared" si="14"/>
        <v>85.878</v>
      </c>
      <c r="N914" s="1">
        <v>0</v>
      </c>
    </row>
    <row r="915" spans="1:14">
      <c r="A915" s="2">
        <v>46296</v>
      </c>
      <c r="B915" s="1">
        <v>1389</v>
      </c>
      <c r="C915" s="1">
        <v>114</v>
      </c>
      <c r="D915" s="1" t="s">
        <v>86</v>
      </c>
      <c r="E915" s="1" t="s">
        <v>40</v>
      </c>
      <c r="F915" s="1" t="s">
        <v>41</v>
      </c>
      <c r="G915" s="1">
        <v>30</v>
      </c>
      <c r="H915" s="1" t="s">
        <v>57</v>
      </c>
      <c r="I915" s="1" t="s">
        <v>31</v>
      </c>
      <c r="J915" s="1">
        <v>1</v>
      </c>
      <c r="K915" s="1">
        <v>41.49</v>
      </c>
      <c r="L915" s="1">
        <v>0</v>
      </c>
      <c r="M915" s="16">
        <f t="shared" si="14"/>
        <v>41.49</v>
      </c>
      <c r="N915" s="1">
        <v>0</v>
      </c>
    </row>
    <row r="916" spans="1:14">
      <c r="A916" s="2">
        <v>46296</v>
      </c>
      <c r="B916" s="1">
        <v>1389</v>
      </c>
      <c r="C916" s="1">
        <v>114</v>
      </c>
      <c r="D916" s="1" t="s">
        <v>86</v>
      </c>
      <c r="E916" s="1" t="s">
        <v>40</v>
      </c>
      <c r="F916" s="1" t="s">
        <v>41</v>
      </c>
      <c r="G916" s="1">
        <v>4</v>
      </c>
      <c r="H916" s="1" t="s">
        <v>92</v>
      </c>
      <c r="I916" s="1" t="s">
        <v>21</v>
      </c>
      <c r="J916" s="1">
        <v>3</v>
      </c>
      <c r="K916" s="1">
        <v>34.83</v>
      </c>
      <c r="L916" s="1">
        <v>0</v>
      </c>
      <c r="M916" s="16">
        <f t="shared" si="14"/>
        <v>104.49</v>
      </c>
      <c r="N916" s="1">
        <v>0</v>
      </c>
    </row>
    <row r="917" spans="1:14">
      <c r="A917" s="2">
        <v>45949</v>
      </c>
      <c r="B917" s="1">
        <v>1034</v>
      </c>
      <c r="C917" s="1">
        <f>_xlfn.XLOOKUP(D917,'Customer Data'!B:B,'Customer Data'!A:A,"Not Found")</f>
        <v>114</v>
      </c>
      <c r="D917" s="1" t="s">
        <v>86</v>
      </c>
      <c r="E917" s="1" t="s">
        <v>40</v>
      </c>
      <c r="F917" s="1" t="s">
        <v>35</v>
      </c>
      <c r="G917" s="1">
        <v>1</v>
      </c>
      <c r="H917" s="1" t="s">
        <v>20</v>
      </c>
      <c r="I917" s="1" t="s">
        <v>21</v>
      </c>
      <c r="J917" s="1">
        <v>1</v>
      </c>
      <c r="K917" s="1">
        <v>47.45</v>
      </c>
      <c r="L917" s="1">
        <v>0</v>
      </c>
      <c r="M917" s="16">
        <f t="shared" si="14"/>
        <v>47.45</v>
      </c>
      <c r="N917" s="1">
        <v>0</v>
      </c>
    </row>
    <row r="918" spans="1:14">
      <c r="A918" s="2">
        <v>45990</v>
      </c>
      <c r="B918" s="1">
        <v>1197</v>
      </c>
      <c r="C918" s="1">
        <f>_xlfn.XLOOKUP(D918,'Customer Data'!B:B,'Customer Data'!A:A,"Not Found")</f>
        <v>114</v>
      </c>
      <c r="D918" s="1" t="s">
        <v>86</v>
      </c>
      <c r="E918" s="1" t="s">
        <v>40</v>
      </c>
      <c r="F918" s="1" t="s">
        <v>41</v>
      </c>
      <c r="G918" s="1">
        <v>31</v>
      </c>
      <c r="H918" s="1" t="s">
        <v>30</v>
      </c>
      <c r="I918" s="1" t="s">
        <v>31</v>
      </c>
      <c r="J918" s="1">
        <v>3</v>
      </c>
      <c r="K918" s="1">
        <v>57.51</v>
      </c>
      <c r="L918" s="1">
        <v>25</v>
      </c>
      <c r="M918" s="16">
        <f t="shared" si="14"/>
        <v>129.39750000000001</v>
      </c>
      <c r="N918" s="1">
        <v>0</v>
      </c>
    </row>
    <row r="919" spans="1:14">
      <c r="A919" s="2">
        <v>45947</v>
      </c>
      <c r="B919" s="1">
        <v>1021</v>
      </c>
      <c r="C919" s="1">
        <v>115</v>
      </c>
      <c r="D919" s="1" t="s">
        <v>66</v>
      </c>
      <c r="E919" s="1" t="s">
        <v>40</v>
      </c>
      <c r="F919" s="1" t="s">
        <v>55</v>
      </c>
      <c r="G919" s="1">
        <v>15</v>
      </c>
      <c r="H919" s="1" t="s">
        <v>48</v>
      </c>
      <c r="I919" s="1" t="s">
        <v>33</v>
      </c>
      <c r="J919" s="1">
        <v>1</v>
      </c>
      <c r="K919" s="1">
        <v>47.71</v>
      </c>
      <c r="L919" s="1">
        <v>0</v>
      </c>
      <c r="M919" s="16">
        <f t="shared" si="14"/>
        <v>47.71</v>
      </c>
      <c r="N919" s="1">
        <v>0</v>
      </c>
    </row>
    <row r="920" spans="1:14">
      <c r="A920" s="2">
        <v>45727</v>
      </c>
      <c r="B920" s="1">
        <v>1076</v>
      </c>
      <c r="C920" s="1">
        <v>115</v>
      </c>
      <c r="D920" s="1" t="s">
        <v>66</v>
      </c>
      <c r="E920" s="1" t="s">
        <v>194</v>
      </c>
      <c r="F920" s="1" t="s">
        <v>55</v>
      </c>
      <c r="G920" s="1">
        <v>35</v>
      </c>
      <c r="H920" s="1" t="s">
        <v>104</v>
      </c>
      <c r="I920" s="1" t="s">
        <v>27</v>
      </c>
      <c r="J920" s="1">
        <v>1</v>
      </c>
      <c r="K920" s="1">
        <v>11.3</v>
      </c>
      <c r="L920" s="1">
        <v>0</v>
      </c>
      <c r="M920" s="16">
        <f t="shared" si="14"/>
        <v>11.3</v>
      </c>
      <c r="N920" s="1">
        <v>0</v>
      </c>
    </row>
    <row r="921" spans="1:14">
      <c r="A921" s="2">
        <v>45669</v>
      </c>
      <c r="B921" s="1">
        <v>1212</v>
      </c>
      <c r="C921" s="1">
        <v>115</v>
      </c>
      <c r="D921" s="1" t="s">
        <v>66</v>
      </c>
      <c r="E921" s="1" t="s">
        <v>40</v>
      </c>
      <c r="F921" s="1" t="s">
        <v>55</v>
      </c>
      <c r="G921" s="1">
        <v>1</v>
      </c>
      <c r="H921" s="1" t="s">
        <v>20</v>
      </c>
      <c r="I921" s="1" t="s">
        <v>21</v>
      </c>
      <c r="J921" s="1">
        <v>2</v>
      </c>
      <c r="K921" s="1">
        <v>47.45</v>
      </c>
      <c r="L921" s="1">
        <v>20</v>
      </c>
      <c r="M921" s="16">
        <f t="shared" si="14"/>
        <v>75.92</v>
      </c>
      <c r="N921" s="1">
        <v>0</v>
      </c>
    </row>
    <row r="922" spans="1:14">
      <c r="A922" s="2">
        <v>45997</v>
      </c>
      <c r="B922" s="1">
        <v>1230</v>
      </c>
      <c r="C922" s="1">
        <v>115</v>
      </c>
      <c r="D922" s="1" t="s">
        <v>66</v>
      </c>
      <c r="E922" s="1" t="s">
        <v>40</v>
      </c>
      <c r="F922" s="1" t="s">
        <v>55</v>
      </c>
      <c r="G922" s="1">
        <v>27</v>
      </c>
      <c r="H922" s="1" t="s">
        <v>89</v>
      </c>
      <c r="I922" s="1" t="s">
        <v>37</v>
      </c>
      <c r="J922" s="1">
        <v>1</v>
      </c>
      <c r="K922" s="1">
        <v>27.3</v>
      </c>
      <c r="L922" s="1">
        <v>15</v>
      </c>
      <c r="M922" s="16">
        <f t="shared" si="14"/>
        <v>23.204999999999998</v>
      </c>
      <c r="N922" s="1">
        <v>0</v>
      </c>
    </row>
    <row r="923" spans="1:14">
      <c r="A923" s="2">
        <v>46077</v>
      </c>
      <c r="B923" s="1">
        <v>1528</v>
      </c>
      <c r="C923" s="1">
        <v>115</v>
      </c>
      <c r="D923" s="1" t="s">
        <v>66</v>
      </c>
      <c r="E923" s="1" t="s">
        <v>40</v>
      </c>
      <c r="F923" s="1" t="s">
        <v>55</v>
      </c>
      <c r="G923" s="1">
        <v>39</v>
      </c>
      <c r="H923" s="1" t="s">
        <v>36</v>
      </c>
      <c r="I923" s="1" t="s">
        <v>27</v>
      </c>
      <c r="J923" s="1">
        <v>2</v>
      </c>
      <c r="K923" s="1">
        <v>39.979999999999997</v>
      </c>
      <c r="L923" s="1">
        <v>0</v>
      </c>
      <c r="M923" s="16">
        <f t="shared" si="14"/>
        <v>79.959999999999994</v>
      </c>
      <c r="N923" s="1">
        <v>0</v>
      </c>
    </row>
    <row r="924" spans="1:14">
      <c r="A924" s="2">
        <v>45941</v>
      </c>
      <c r="B924" s="1">
        <v>1107</v>
      </c>
      <c r="C924" s="1">
        <v>116</v>
      </c>
      <c r="D924" s="1" t="s">
        <v>121</v>
      </c>
      <c r="E924" s="1" t="s">
        <v>122</v>
      </c>
      <c r="F924" s="1" t="s">
        <v>41</v>
      </c>
      <c r="G924" s="1">
        <v>7</v>
      </c>
      <c r="H924" s="1" t="s">
        <v>46</v>
      </c>
      <c r="I924" s="1" t="s">
        <v>21</v>
      </c>
      <c r="J924" s="1">
        <v>1</v>
      </c>
      <c r="K924" s="1">
        <v>79.39</v>
      </c>
      <c r="L924" s="1">
        <v>10</v>
      </c>
      <c r="M924" s="16">
        <f t="shared" si="14"/>
        <v>71.451000000000008</v>
      </c>
      <c r="N924" s="1">
        <v>0</v>
      </c>
    </row>
    <row r="925" spans="1:14">
      <c r="A925" s="2">
        <v>45941</v>
      </c>
      <c r="B925" s="1">
        <v>1107</v>
      </c>
      <c r="C925" s="1">
        <v>116</v>
      </c>
      <c r="D925" s="1" t="s">
        <v>121</v>
      </c>
      <c r="E925" s="1" t="s">
        <v>14</v>
      </c>
      <c r="F925" s="1" t="s">
        <v>41</v>
      </c>
      <c r="G925" s="1">
        <v>24</v>
      </c>
      <c r="H925" s="1" t="s">
        <v>44</v>
      </c>
      <c r="I925" s="1" t="s">
        <v>37</v>
      </c>
      <c r="J925" s="1">
        <v>2</v>
      </c>
      <c r="K925" s="1">
        <v>43.42</v>
      </c>
      <c r="L925" s="1">
        <v>10</v>
      </c>
      <c r="M925" s="16">
        <f t="shared" si="14"/>
        <v>78.156000000000006</v>
      </c>
      <c r="N925" s="1">
        <v>0</v>
      </c>
    </row>
    <row r="926" spans="1:14">
      <c r="A926" s="2">
        <v>45978</v>
      </c>
      <c r="B926" s="1">
        <v>1142</v>
      </c>
      <c r="C926" s="1">
        <v>116</v>
      </c>
      <c r="D926" s="1" t="s">
        <v>121</v>
      </c>
      <c r="E926" s="1" t="s">
        <v>14</v>
      </c>
      <c r="F926" s="1" t="s">
        <v>41</v>
      </c>
      <c r="G926" s="1">
        <v>36</v>
      </c>
      <c r="H926" s="1" t="s">
        <v>62</v>
      </c>
      <c r="I926" s="1" t="s">
        <v>27</v>
      </c>
      <c r="J926" s="1">
        <v>1</v>
      </c>
      <c r="K926" s="1">
        <v>23.23</v>
      </c>
      <c r="L926" s="1">
        <v>0</v>
      </c>
      <c r="M926" s="16">
        <f t="shared" si="14"/>
        <v>23.23</v>
      </c>
      <c r="N926" s="1">
        <v>0</v>
      </c>
    </row>
    <row r="927" spans="1:14">
      <c r="A927" s="2">
        <v>45983</v>
      </c>
      <c r="B927" s="1">
        <v>1165</v>
      </c>
      <c r="C927" s="1">
        <v>116</v>
      </c>
      <c r="D927" s="1" t="s">
        <v>121</v>
      </c>
      <c r="E927" s="1" t="s">
        <v>14</v>
      </c>
      <c r="F927" s="1" t="s">
        <v>41</v>
      </c>
      <c r="G927" s="1">
        <v>38</v>
      </c>
      <c r="H927" s="1" t="s">
        <v>70</v>
      </c>
      <c r="I927" s="1" t="s">
        <v>27</v>
      </c>
      <c r="J927" s="1">
        <v>1</v>
      </c>
      <c r="K927" s="1">
        <v>25.14</v>
      </c>
      <c r="L927" s="1">
        <v>0</v>
      </c>
      <c r="M927" s="16">
        <f t="shared" si="14"/>
        <v>25.14</v>
      </c>
      <c r="N927" s="1">
        <v>0</v>
      </c>
    </row>
    <row r="928" spans="1:14">
      <c r="A928" s="2">
        <v>45789</v>
      </c>
      <c r="B928" s="1">
        <v>1228</v>
      </c>
      <c r="C928" s="1">
        <v>116</v>
      </c>
      <c r="D928" s="1" t="s">
        <v>121</v>
      </c>
      <c r="E928" s="1" t="s">
        <v>14</v>
      </c>
      <c r="F928" s="1" t="s">
        <v>41</v>
      </c>
      <c r="G928" s="1">
        <v>40</v>
      </c>
      <c r="H928" s="1" t="s">
        <v>53</v>
      </c>
      <c r="I928" s="1" t="s">
        <v>27</v>
      </c>
      <c r="J928" s="1">
        <v>3</v>
      </c>
      <c r="K928" s="1">
        <v>47.25</v>
      </c>
      <c r="L928" s="1">
        <v>10</v>
      </c>
      <c r="M928" s="16">
        <f t="shared" si="14"/>
        <v>127.575</v>
      </c>
      <c r="N928" s="1">
        <v>0</v>
      </c>
    </row>
    <row r="929" spans="1:14">
      <c r="A929" s="2">
        <v>45789</v>
      </c>
      <c r="B929" s="1">
        <v>1228</v>
      </c>
      <c r="C929" s="1">
        <v>116</v>
      </c>
      <c r="D929" s="1" t="s">
        <v>121</v>
      </c>
      <c r="E929" s="1" t="s">
        <v>14</v>
      </c>
      <c r="F929" s="1" t="s">
        <v>35</v>
      </c>
      <c r="G929" s="1">
        <v>13</v>
      </c>
      <c r="H929" s="1" t="s">
        <v>45</v>
      </c>
      <c r="I929" s="1" t="s">
        <v>33</v>
      </c>
      <c r="J929" s="1">
        <v>2</v>
      </c>
      <c r="K929" s="1">
        <v>54.9</v>
      </c>
      <c r="L929" s="1">
        <v>25</v>
      </c>
      <c r="M929" s="16">
        <f t="shared" si="14"/>
        <v>82.35</v>
      </c>
      <c r="N929" s="1">
        <v>0</v>
      </c>
    </row>
    <row r="930" spans="1:14">
      <c r="A930" s="2">
        <v>45850</v>
      </c>
      <c r="B930" s="1">
        <v>1237</v>
      </c>
      <c r="C930" s="1">
        <v>116</v>
      </c>
      <c r="D930" s="1" t="s">
        <v>121</v>
      </c>
      <c r="E930" s="1" t="s">
        <v>14</v>
      </c>
      <c r="F930" s="1" t="s">
        <v>41</v>
      </c>
      <c r="G930" s="1">
        <v>36</v>
      </c>
      <c r="H930" s="1" t="s">
        <v>62</v>
      </c>
      <c r="I930" s="1" t="s">
        <v>27</v>
      </c>
      <c r="J930" s="1">
        <v>1</v>
      </c>
      <c r="K930" s="1">
        <v>23.23</v>
      </c>
      <c r="L930" s="1">
        <v>10</v>
      </c>
      <c r="M930" s="16">
        <f t="shared" si="14"/>
        <v>20.907</v>
      </c>
      <c r="N930" s="1">
        <v>0</v>
      </c>
    </row>
    <row r="931" spans="1:14">
      <c r="A931" s="2">
        <v>45850</v>
      </c>
      <c r="B931" s="1">
        <v>1237</v>
      </c>
      <c r="C931" s="1">
        <v>116</v>
      </c>
      <c r="D931" s="1" t="s">
        <v>121</v>
      </c>
      <c r="E931" s="1" t="s">
        <v>14</v>
      </c>
      <c r="F931" s="1" t="s">
        <v>41</v>
      </c>
      <c r="G931" s="1">
        <v>14</v>
      </c>
      <c r="H931" s="1" t="s">
        <v>105</v>
      </c>
      <c r="I931" s="1" t="s">
        <v>33</v>
      </c>
      <c r="J931" s="1">
        <v>1</v>
      </c>
      <c r="K931" s="1">
        <v>15.36</v>
      </c>
      <c r="L931" s="1">
        <v>25</v>
      </c>
      <c r="M931" s="16">
        <f t="shared" si="14"/>
        <v>11.52</v>
      </c>
      <c r="N931" s="1">
        <v>0</v>
      </c>
    </row>
    <row r="932" spans="1:14">
      <c r="A932" s="2">
        <v>45850</v>
      </c>
      <c r="B932" s="1">
        <v>1237</v>
      </c>
      <c r="C932" s="1">
        <v>116</v>
      </c>
      <c r="D932" s="1" t="s">
        <v>121</v>
      </c>
      <c r="E932" s="1" t="s">
        <v>14</v>
      </c>
      <c r="F932" s="1" t="s">
        <v>41</v>
      </c>
      <c r="G932" s="1">
        <v>36</v>
      </c>
      <c r="H932" s="1" t="s">
        <v>62</v>
      </c>
      <c r="I932" s="1" t="s">
        <v>27</v>
      </c>
      <c r="J932" s="1">
        <v>1</v>
      </c>
      <c r="K932" s="1">
        <v>23.23</v>
      </c>
      <c r="L932" s="1">
        <v>20</v>
      </c>
      <c r="M932" s="16">
        <f t="shared" si="14"/>
        <v>18.584</v>
      </c>
      <c r="N932" s="1">
        <v>1</v>
      </c>
    </row>
    <row r="933" spans="1:14">
      <c r="A933" s="2">
        <v>45998</v>
      </c>
      <c r="B933" s="1">
        <v>1237</v>
      </c>
      <c r="C933" s="1">
        <v>116</v>
      </c>
      <c r="D933" s="1" t="s">
        <v>121</v>
      </c>
      <c r="E933" s="1" t="s">
        <v>14</v>
      </c>
      <c r="F933" s="1" t="s">
        <v>41</v>
      </c>
      <c r="G933" s="1">
        <v>13</v>
      </c>
      <c r="H933" s="1" t="s">
        <v>45</v>
      </c>
      <c r="I933" s="1" t="s">
        <v>33</v>
      </c>
      <c r="J933" s="1">
        <v>1</v>
      </c>
      <c r="K933" s="1">
        <v>54.9</v>
      </c>
      <c r="L933" s="1">
        <v>20</v>
      </c>
      <c r="M933" s="16">
        <f t="shared" si="14"/>
        <v>43.92</v>
      </c>
      <c r="N933" s="1">
        <v>0</v>
      </c>
    </row>
    <row r="934" spans="1:14">
      <c r="A934" s="2">
        <v>45973</v>
      </c>
      <c r="B934" s="1">
        <v>1260</v>
      </c>
      <c r="C934" s="1">
        <v>116</v>
      </c>
      <c r="D934" s="1" t="s">
        <v>121</v>
      </c>
      <c r="E934" s="1" t="s">
        <v>14</v>
      </c>
      <c r="F934" s="1" t="s">
        <v>41</v>
      </c>
      <c r="G934" s="1">
        <v>39</v>
      </c>
      <c r="H934" s="1" t="s">
        <v>36</v>
      </c>
      <c r="I934" s="1" t="s">
        <v>27</v>
      </c>
      <c r="J934" s="1">
        <v>1</v>
      </c>
      <c r="K934" s="1">
        <v>39.979999999999997</v>
      </c>
      <c r="L934" s="1">
        <v>0</v>
      </c>
      <c r="M934" s="16">
        <f t="shared" si="14"/>
        <v>39.979999999999997</v>
      </c>
      <c r="N934" s="1">
        <v>0</v>
      </c>
    </row>
    <row r="935" spans="1:14">
      <c r="A935" s="2">
        <v>46017</v>
      </c>
      <c r="B935" s="1">
        <v>1334</v>
      </c>
      <c r="C935" s="1">
        <v>116</v>
      </c>
      <c r="D935" s="1" t="s">
        <v>121</v>
      </c>
      <c r="E935" s="1" t="s">
        <v>14</v>
      </c>
      <c r="F935" s="1" t="s">
        <v>41</v>
      </c>
      <c r="G935" s="1">
        <v>38</v>
      </c>
      <c r="H935" s="1" t="s">
        <v>70</v>
      </c>
      <c r="I935" s="1" t="s">
        <v>27</v>
      </c>
      <c r="J935" s="1">
        <v>3</v>
      </c>
      <c r="K935" s="1">
        <v>25.14</v>
      </c>
      <c r="L935" s="1">
        <v>0</v>
      </c>
      <c r="M935" s="16">
        <f t="shared" si="14"/>
        <v>75.42</v>
      </c>
      <c r="N935" s="1">
        <v>0</v>
      </c>
    </row>
    <row r="936" spans="1:14">
      <c r="A936" s="2">
        <v>46017</v>
      </c>
      <c r="B936" s="1">
        <v>1334</v>
      </c>
      <c r="C936" s="1">
        <v>116</v>
      </c>
      <c r="D936" s="1" t="s">
        <v>121</v>
      </c>
      <c r="E936" s="1" t="s">
        <v>14</v>
      </c>
      <c r="F936" s="1" t="s">
        <v>41</v>
      </c>
      <c r="G936" s="1">
        <v>3</v>
      </c>
      <c r="H936" s="1" t="s">
        <v>59</v>
      </c>
      <c r="I936" s="1" t="s">
        <v>21</v>
      </c>
      <c r="J936" s="1">
        <v>1</v>
      </c>
      <c r="K936" s="1">
        <v>25.47</v>
      </c>
      <c r="L936" s="1">
        <v>0</v>
      </c>
      <c r="M936" s="16">
        <f t="shared" si="14"/>
        <v>25.47</v>
      </c>
      <c r="N936" s="1">
        <v>0</v>
      </c>
    </row>
    <row r="937" spans="1:14">
      <c r="A937" s="2">
        <v>46017</v>
      </c>
      <c r="B937" s="1">
        <v>1334</v>
      </c>
      <c r="C937" s="1">
        <v>116</v>
      </c>
      <c r="D937" s="1" t="s">
        <v>121</v>
      </c>
      <c r="E937" s="1" t="s">
        <v>14</v>
      </c>
      <c r="F937" s="1" t="s">
        <v>41</v>
      </c>
      <c r="G937" s="1">
        <v>23</v>
      </c>
      <c r="H937" s="1" t="s">
        <v>98</v>
      </c>
      <c r="I937" s="1" t="s">
        <v>37</v>
      </c>
      <c r="J937" s="1">
        <v>1</v>
      </c>
      <c r="K937" s="1">
        <v>38.14</v>
      </c>
      <c r="L937" s="1">
        <v>10</v>
      </c>
      <c r="M937" s="16">
        <f t="shared" si="14"/>
        <v>34.326000000000001</v>
      </c>
      <c r="N937" s="1">
        <v>0</v>
      </c>
    </row>
    <row r="938" spans="1:14">
      <c r="A938" s="2">
        <v>46022</v>
      </c>
      <c r="B938" s="1">
        <v>1044</v>
      </c>
      <c r="C938" s="1">
        <v>116</v>
      </c>
      <c r="D938" s="1" t="s">
        <v>121</v>
      </c>
      <c r="E938" s="1" t="s">
        <v>14</v>
      </c>
      <c r="F938" s="1" t="s">
        <v>41</v>
      </c>
      <c r="G938" s="1">
        <v>14</v>
      </c>
      <c r="H938" s="1" t="s">
        <v>105</v>
      </c>
      <c r="I938" s="1" t="s">
        <v>33</v>
      </c>
      <c r="J938" s="1">
        <v>1</v>
      </c>
      <c r="K938" s="1">
        <v>15.36</v>
      </c>
      <c r="L938" s="1">
        <v>25</v>
      </c>
      <c r="M938" s="16">
        <f t="shared" si="14"/>
        <v>11.52</v>
      </c>
      <c r="N938" s="1">
        <v>0</v>
      </c>
    </row>
    <row r="939" spans="1:14">
      <c r="A939" s="2">
        <v>46328</v>
      </c>
      <c r="B939" s="1">
        <v>1477</v>
      </c>
      <c r="C939" s="1">
        <v>116</v>
      </c>
      <c r="D939" s="1" t="s">
        <v>121</v>
      </c>
      <c r="E939" s="1" t="s">
        <v>14</v>
      </c>
      <c r="F939" s="1" t="s">
        <v>41</v>
      </c>
      <c r="G939" s="1">
        <v>28</v>
      </c>
      <c r="H939" s="1" t="s">
        <v>51</v>
      </c>
      <c r="I939" s="1" t="s">
        <v>37</v>
      </c>
      <c r="J939" s="1">
        <v>1</v>
      </c>
      <c r="K939" s="1">
        <v>21.24</v>
      </c>
      <c r="L939" s="1">
        <v>15</v>
      </c>
      <c r="M939" s="16">
        <f t="shared" si="14"/>
        <v>18.053999999999998</v>
      </c>
      <c r="N939" s="1">
        <v>0</v>
      </c>
    </row>
    <row r="940" spans="1:14">
      <c r="A940" s="2">
        <v>46328</v>
      </c>
      <c r="B940" s="1">
        <v>1477</v>
      </c>
      <c r="C940" s="1">
        <v>116</v>
      </c>
      <c r="D940" s="1" t="s">
        <v>121</v>
      </c>
      <c r="E940" s="1" t="s">
        <v>14</v>
      </c>
      <c r="F940" s="1" t="s">
        <v>41</v>
      </c>
      <c r="G940" s="1">
        <v>32</v>
      </c>
      <c r="H940" s="1" t="s">
        <v>103</v>
      </c>
      <c r="I940" s="1" t="s">
        <v>31</v>
      </c>
      <c r="J940" s="1">
        <v>1</v>
      </c>
      <c r="K940" s="1">
        <v>61.06</v>
      </c>
      <c r="L940" s="1">
        <v>15</v>
      </c>
      <c r="M940" s="16">
        <f t="shared" si="14"/>
        <v>51.901000000000003</v>
      </c>
      <c r="N940" s="1">
        <v>0</v>
      </c>
    </row>
    <row r="941" spans="1:14">
      <c r="A941" s="2">
        <v>45978</v>
      </c>
      <c r="B941" s="1">
        <v>1143</v>
      </c>
      <c r="C941" s="1">
        <v>117</v>
      </c>
      <c r="D941" s="1" t="s">
        <v>135</v>
      </c>
      <c r="E941" s="1" t="s">
        <v>29</v>
      </c>
      <c r="F941" s="1" t="s">
        <v>74</v>
      </c>
      <c r="G941" s="1">
        <v>32</v>
      </c>
      <c r="H941" s="1" t="s">
        <v>103</v>
      </c>
      <c r="I941" s="1" t="s">
        <v>31</v>
      </c>
      <c r="J941" s="1">
        <v>3</v>
      </c>
      <c r="K941" s="1">
        <v>61.06</v>
      </c>
      <c r="L941" s="1">
        <v>0</v>
      </c>
      <c r="M941" s="16">
        <f t="shared" si="14"/>
        <v>183.18</v>
      </c>
      <c r="N941" s="1">
        <v>0</v>
      </c>
    </row>
    <row r="942" spans="1:14">
      <c r="A942" s="2">
        <v>45978</v>
      </c>
      <c r="B942" s="1">
        <v>1143</v>
      </c>
      <c r="C942" s="1">
        <v>117</v>
      </c>
      <c r="D942" s="1" t="s">
        <v>135</v>
      </c>
      <c r="E942" s="1" t="s">
        <v>29</v>
      </c>
      <c r="F942" s="1" t="s">
        <v>74</v>
      </c>
      <c r="G942" s="1">
        <v>21</v>
      </c>
      <c r="H942" s="1" t="s">
        <v>97</v>
      </c>
      <c r="I942" s="1" t="s">
        <v>17</v>
      </c>
      <c r="J942" s="1">
        <v>1</v>
      </c>
      <c r="K942" s="1">
        <v>38.869999999999997</v>
      </c>
      <c r="L942" s="1">
        <v>0</v>
      </c>
      <c r="M942" s="16">
        <f t="shared" si="14"/>
        <v>38.869999999999997</v>
      </c>
      <c r="N942" s="1">
        <v>0</v>
      </c>
    </row>
    <row r="943" spans="1:14">
      <c r="A943" s="2">
        <v>46005</v>
      </c>
      <c r="B943" s="1">
        <v>1279</v>
      </c>
      <c r="C943" s="1">
        <v>117</v>
      </c>
      <c r="D943" s="1" t="s">
        <v>135</v>
      </c>
      <c r="E943" s="1" t="s">
        <v>29</v>
      </c>
      <c r="F943" s="1" t="s">
        <v>74</v>
      </c>
      <c r="G943" s="1">
        <v>30</v>
      </c>
      <c r="H943" s="1" t="s">
        <v>57</v>
      </c>
      <c r="I943" s="1" t="s">
        <v>31</v>
      </c>
      <c r="J943" s="1">
        <v>1</v>
      </c>
      <c r="K943" s="1">
        <v>41.49</v>
      </c>
      <c r="L943" s="1">
        <v>0</v>
      </c>
      <c r="M943" s="16">
        <f t="shared" si="14"/>
        <v>41.49</v>
      </c>
      <c r="N943" s="1">
        <v>0</v>
      </c>
    </row>
    <row r="944" spans="1:14">
      <c r="A944" s="2">
        <v>46078</v>
      </c>
      <c r="B944" s="1">
        <v>1529</v>
      </c>
      <c r="C944" s="1">
        <v>117</v>
      </c>
      <c r="D944" s="1" t="s">
        <v>135</v>
      </c>
      <c r="E944" s="1" t="s">
        <v>29</v>
      </c>
      <c r="F944" s="1" t="s">
        <v>74</v>
      </c>
      <c r="G944" s="1">
        <v>37</v>
      </c>
      <c r="H944" s="1" t="s">
        <v>26</v>
      </c>
      <c r="I944" s="1" t="s">
        <v>27</v>
      </c>
      <c r="J944" s="1">
        <v>2</v>
      </c>
      <c r="K944" s="1">
        <v>52.67</v>
      </c>
      <c r="L944" s="1">
        <v>0</v>
      </c>
      <c r="M944" s="16">
        <f t="shared" si="14"/>
        <v>105.34</v>
      </c>
      <c r="N944" s="1">
        <v>0</v>
      </c>
    </row>
    <row r="945" spans="1:14">
      <c r="A945" s="2">
        <v>46078</v>
      </c>
      <c r="B945" s="1">
        <v>1529</v>
      </c>
      <c r="C945" s="1">
        <v>117</v>
      </c>
      <c r="D945" s="1" t="s">
        <v>135</v>
      </c>
      <c r="E945" s="1" t="s">
        <v>29</v>
      </c>
      <c r="F945" s="1" t="s">
        <v>74</v>
      </c>
      <c r="G945" s="1">
        <v>33</v>
      </c>
      <c r="H945" s="1" t="s">
        <v>42</v>
      </c>
      <c r="I945" s="1" t="s">
        <v>170</v>
      </c>
      <c r="J945" s="1">
        <v>1</v>
      </c>
      <c r="K945" s="1">
        <v>40.94</v>
      </c>
      <c r="L945" s="1">
        <v>0</v>
      </c>
      <c r="M945" s="16">
        <f t="shared" si="14"/>
        <v>40.94</v>
      </c>
      <c r="N945" s="1">
        <v>0</v>
      </c>
    </row>
    <row r="946" spans="1:14">
      <c r="A946" s="2">
        <v>46078</v>
      </c>
      <c r="B946" s="1">
        <v>1529</v>
      </c>
      <c r="C946" s="1">
        <v>117</v>
      </c>
      <c r="D946" s="1" t="s">
        <v>135</v>
      </c>
      <c r="E946" s="1" t="s">
        <v>29</v>
      </c>
      <c r="F946" s="1" t="s">
        <v>74</v>
      </c>
      <c r="G946" s="1">
        <v>30</v>
      </c>
      <c r="H946" s="1" t="s">
        <v>57</v>
      </c>
      <c r="I946" s="1" t="s">
        <v>31</v>
      </c>
      <c r="J946" s="1">
        <v>1</v>
      </c>
      <c r="K946" s="1">
        <v>41.49</v>
      </c>
      <c r="L946" s="1">
        <v>0</v>
      </c>
      <c r="M946" s="16">
        <f t="shared" si="14"/>
        <v>41.49</v>
      </c>
      <c r="N946" s="1">
        <v>0</v>
      </c>
    </row>
    <row r="947" spans="1:14">
      <c r="A947" s="2">
        <v>45956</v>
      </c>
      <c r="B947" s="1">
        <v>1050</v>
      </c>
      <c r="C947" s="1">
        <v>118</v>
      </c>
      <c r="D947" s="1" t="s">
        <v>102</v>
      </c>
      <c r="E947" s="1" t="s">
        <v>14</v>
      </c>
      <c r="F947" s="1" t="s">
        <v>74</v>
      </c>
      <c r="G947" s="1">
        <v>26</v>
      </c>
      <c r="H947" s="1" t="s">
        <v>83</v>
      </c>
      <c r="I947" s="1" t="s">
        <v>37</v>
      </c>
      <c r="J947" s="1">
        <v>3</v>
      </c>
      <c r="K947" s="1">
        <v>31.76</v>
      </c>
      <c r="L947" s="1">
        <v>25</v>
      </c>
      <c r="M947" s="16">
        <f t="shared" si="14"/>
        <v>71.460000000000008</v>
      </c>
      <c r="N947" s="1">
        <v>0</v>
      </c>
    </row>
    <row r="948" spans="1:14">
      <c r="A948" s="2">
        <v>45820</v>
      </c>
      <c r="B948" s="1">
        <v>1231</v>
      </c>
      <c r="C948" s="1">
        <v>118</v>
      </c>
      <c r="D948" s="1" t="s">
        <v>102</v>
      </c>
      <c r="E948" s="1" t="s">
        <v>14</v>
      </c>
      <c r="F948" s="1" t="s">
        <v>74</v>
      </c>
      <c r="G948" s="1">
        <v>36</v>
      </c>
      <c r="H948" s="1" t="s">
        <v>62</v>
      </c>
      <c r="I948" s="1" t="s">
        <v>27</v>
      </c>
      <c r="J948" s="1">
        <v>1</v>
      </c>
      <c r="K948" s="1">
        <v>23.23</v>
      </c>
      <c r="L948" s="1">
        <v>5.5</v>
      </c>
      <c r="M948" s="16">
        <f t="shared" si="14"/>
        <v>21.952349999999999</v>
      </c>
      <c r="N948" s="1">
        <v>0</v>
      </c>
    </row>
    <row r="949" spans="1:14">
      <c r="A949" s="2">
        <v>46003</v>
      </c>
      <c r="B949" s="1">
        <v>1269</v>
      </c>
      <c r="C949" s="1">
        <v>118</v>
      </c>
      <c r="D949" s="1" t="s">
        <v>102</v>
      </c>
      <c r="E949" s="1" t="s">
        <v>14</v>
      </c>
      <c r="F949" s="1" t="s">
        <v>74</v>
      </c>
      <c r="G949" s="1">
        <v>28</v>
      </c>
      <c r="H949" s="1" t="s">
        <v>51</v>
      </c>
      <c r="I949" s="1" t="s">
        <v>37</v>
      </c>
      <c r="J949" s="1">
        <v>1</v>
      </c>
      <c r="K949" s="1">
        <v>38.869999999999997</v>
      </c>
      <c r="L949" s="1">
        <v>0</v>
      </c>
      <c r="M949" s="16">
        <f t="shared" si="14"/>
        <v>38.869999999999997</v>
      </c>
      <c r="N949" s="1">
        <v>0</v>
      </c>
    </row>
    <row r="950" spans="1:14">
      <c r="A950" s="2">
        <v>46018</v>
      </c>
      <c r="B950" s="1">
        <v>1341</v>
      </c>
      <c r="C950" s="1">
        <v>118</v>
      </c>
      <c r="D950" s="1" t="s">
        <v>102</v>
      </c>
      <c r="E950" s="1" t="s">
        <v>14</v>
      </c>
      <c r="F950" s="1" t="s">
        <v>74</v>
      </c>
      <c r="G950" s="1">
        <v>19</v>
      </c>
      <c r="H950" s="1" t="s">
        <v>64</v>
      </c>
      <c r="I950" s="1" t="s">
        <v>17</v>
      </c>
      <c r="J950" s="1">
        <v>1</v>
      </c>
      <c r="K950" s="1">
        <v>50.14</v>
      </c>
      <c r="L950" s="1">
        <v>10</v>
      </c>
      <c r="M950" s="16">
        <f t="shared" si="14"/>
        <v>45.126000000000005</v>
      </c>
      <c r="N950" s="1">
        <v>0</v>
      </c>
    </row>
    <row r="951" spans="1:14">
      <c r="A951" s="2">
        <v>46144</v>
      </c>
      <c r="B951" s="1">
        <v>1457</v>
      </c>
      <c r="C951" s="1">
        <v>118</v>
      </c>
      <c r="D951" s="1" t="s">
        <v>102</v>
      </c>
      <c r="E951" s="1" t="s">
        <v>14</v>
      </c>
      <c r="F951" s="1" t="s">
        <v>74</v>
      </c>
      <c r="G951" s="1">
        <v>38</v>
      </c>
      <c r="H951" s="1" t="s">
        <v>70</v>
      </c>
      <c r="I951" s="1" t="s">
        <v>27</v>
      </c>
      <c r="J951" s="1">
        <v>1</v>
      </c>
      <c r="K951" s="1">
        <v>25.14</v>
      </c>
      <c r="L951" s="1">
        <v>10</v>
      </c>
      <c r="M951" s="16">
        <f t="shared" si="14"/>
        <v>22.626000000000001</v>
      </c>
      <c r="N951" s="1">
        <v>0</v>
      </c>
    </row>
    <row r="952" spans="1:14">
      <c r="A952" s="2">
        <v>45669</v>
      </c>
      <c r="B952" s="1">
        <v>1213</v>
      </c>
      <c r="C952" s="1">
        <v>119</v>
      </c>
      <c r="D952" s="1" t="s">
        <v>151</v>
      </c>
      <c r="E952" s="1" t="s">
        <v>68</v>
      </c>
      <c r="F952" s="1" t="s">
        <v>41</v>
      </c>
      <c r="G952" s="1">
        <v>20</v>
      </c>
      <c r="H952" s="1" t="s">
        <v>16</v>
      </c>
      <c r="I952" s="1" t="s">
        <v>17</v>
      </c>
      <c r="J952" s="1">
        <v>3</v>
      </c>
      <c r="K952" s="1">
        <v>32.76</v>
      </c>
      <c r="L952" s="1">
        <v>0</v>
      </c>
      <c r="M952" s="16">
        <f t="shared" si="14"/>
        <v>98.28</v>
      </c>
      <c r="N952" s="1">
        <v>0</v>
      </c>
    </row>
    <row r="953" spans="1:14">
      <c r="A953" s="2">
        <v>46016</v>
      </c>
      <c r="B953" s="1">
        <v>1213</v>
      </c>
      <c r="C953" s="1">
        <v>119</v>
      </c>
      <c r="D953" s="1" t="s">
        <v>151</v>
      </c>
      <c r="E953" s="1" t="s">
        <v>68</v>
      </c>
      <c r="F953" s="1" t="s">
        <v>35</v>
      </c>
      <c r="G953" s="1">
        <v>16</v>
      </c>
      <c r="H953" s="1" t="s">
        <v>77</v>
      </c>
      <c r="I953" s="1" t="s">
        <v>17</v>
      </c>
      <c r="J953" s="1">
        <v>3</v>
      </c>
      <c r="K953" s="1">
        <v>11.81</v>
      </c>
      <c r="L953" s="1">
        <v>0</v>
      </c>
      <c r="M953" s="16">
        <f t="shared" si="14"/>
        <v>35.43</v>
      </c>
      <c r="N953" s="1">
        <v>0</v>
      </c>
    </row>
    <row r="954" spans="1:14">
      <c r="A954" s="2">
        <v>46114</v>
      </c>
      <c r="B954" s="1">
        <v>1455</v>
      </c>
      <c r="C954" s="1">
        <v>119</v>
      </c>
      <c r="D954" s="1" t="s">
        <v>151</v>
      </c>
      <c r="E954" s="1" t="s">
        <v>68</v>
      </c>
      <c r="F954" s="1" t="s">
        <v>41</v>
      </c>
      <c r="G954" s="1">
        <v>32</v>
      </c>
      <c r="H954" s="1" t="s">
        <v>103</v>
      </c>
      <c r="I954" s="1" t="s">
        <v>31</v>
      </c>
      <c r="J954" s="1">
        <v>1</v>
      </c>
      <c r="K954" s="1">
        <v>61.06</v>
      </c>
      <c r="L954" s="1">
        <v>0</v>
      </c>
      <c r="M954" s="16">
        <f t="shared" si="14"/>
        <v>61.06</v>
      </c>
      <c r="N954" s="1">
        <v>0</v>
      </c>
    </row>
    <row r="955" spans="1:14">
      <c r="A955" s="2">
        <v>45820</v>
      </c>
      <c r="B955" s="1">
        <v>1232</v>
      </c>
      <c r="C955" s="1">
        <v>120</v>
      </c>
      <c r="D955" s="1" t="s">
        <v>156</v>
      </c>
      <c r="E955" s="1" t="s">
        <v>68</v>
      </c>
      <c r="F955" s="1" t="s">
        <v>19</v>
      </c>
      <c r="G955" s="1">
        <v>33</v>
      </c>
      <c r="H955" s="1" t="s">
        <v>42</v>
      </c>
      <c r="I955" s="1" t="s">
        <v>31</v>
      </c>
      <c r="J955" s="1">
        <v>3</v>
      </c>
      <c r="K955" s="1">
        <v>40.94</v>
      </c>
      <c r="L955" s="1">
        <v>0</v>
      </c>
      <c r="M955" s="16">
        <f t="shared" si="14"/>
        <v>122.82</v>
      </c>
      <c r="N955" s="1">
        <v>1</v>
      </c>
    </row>
    <row r="956" spans="1:14">
      <c r="A956" s="2">
        <v>45942</v>
      </c>
      <c r="B956" s="1">
        <v>1253</v>
      </c>
      <c r="C956" s="1">
        <v>120</v>
      </c>
      <c r="D956" s="1" t="s">
        <v>156</v>
      </c>
      <c r="E956" s="1" t="s">
        <v>68</v>
      </c>
      <c r="F956" s="1" t="s">
        <v>19</v>
      </c>
      <c r="G956" s="1">
        <v>20</v>
      </c>
      <c r="H956" s="1" t="s">
        <v>16</v>
      </c>
      <c r="I956" s="1" t="s">
        <v>17</v>
      </c>
      <c r="J956" s="1">
        <v>1</v>
      </c>
      <c r="K956" s="1">
        <v>32.76</v>
      </c>
      <c r="L956" s="1">
        <v>0</v>
      </c>
      <c r="M956" s="16">
        <f t="shared" si="14"/>
        <v>32.76</v>
      </c>
      <c r="N956" s="1">
        <v>0</v>
      </c>
    </row>
    <row r="957" spans="1:14">
      <c r="A957" s="2">
        <v>45977</v>
      </c>
      <c r="B957" s="1">
        <v>1137</v>
      </c>
      <c r="C957" s="1">
        <v>121</v>
      </c>
      <c r="D957" s="1" t="s">
        <v>133</v>
      </c>
      <c r="E957" s="1" t="s">
        <v>40</v>
      </c>
      <c r="F957" s="1" t="s">
        <v>74</v>
      </c>
      <c r="G957" s="1">
        <v>5</v>
      </c>
      <c r="H957" s="1" t="s">
        <v>38</v>
      </c>
      <c r="I957" s="1" t="s">
        <v>21</v>
      </c>
      <c r="J957" s="1">
        <v>2</v>
      </c>
      <c r="K957" s="1">
        <v>42.53</v>
      </c>
      <c r="L957" s="1">
        <v>0</v>
      </c>
      <c r="M957" s="16">
        <f t="shared" si="14"/>
        <v>85.06</v>
      </c>
      <c r="N957" s="1">
        <v>0</v>
      </c>
    </row>
    <row r="958" spans="1:14">
      <c r="A958" s="2">
        <v>45977</v>
      </c>
      <c r="B958" s="1">
        <v>1137</v>
      </c>
      <c r="C958" s="1">
        <v>121</v>
      </c>
      <c r="D958" s="1" t="s">
        <v>133</v>
      </c>
      <c r="E958" s="1" t="s">
        <v>40</v>
      </c>
      <c r="F958" s="1" t="s">
        <v>74</v>
      </c>
      <c r="G958" s="1">
        <v>40</v>
      </c>
      <c r="H958" s="1" t="s">
        <v>53</v>
      </c>
      <c r="I958" s="1" t="s">
        <v>27</v>
      </c>
      <c r="J958" s="1">
        <v>1</v>
      </c>
      <c r="K958" s="1">
        <v>47.25</v>
      </c>
      <c r="L958" s="1">
        <v>0</v>
      </c>
      <c r="M958" s="16">
        <f t="shared" si="14"/>
        <v>47.25</v>
      </c>
      <c r="N958" s="1">
        <v>0</v>
      </c>
    </row>
    <row r="959" spans="1:14">
      <c r="A959" s="2">
        <v>46010</v>
      </c>
      <c r="B959" s="1">
        <v>1301</v>
      </c>
      <c r="C959" s="1">
        <v>121</v>
      </c>
      <c r="D959" s="1" t="s">
        <v>133</v>
      </c>
      <c r="E959" s="1" t="s">
        <v>40</v>
      </c>
      <c r="F959" s="1" t="s">
        <v>74</v>
      </c>
      <c r="G959" s="1">
        <v>10</v>
      </c>
      <c r="H959" s="1" t="s">
        <v>32</v>
      </c>
      <c r="I959" s="1" t="s">
        <v>33</v>
      </c>
      <c r="J959" s="1">
        <v>1</v>
      </c>
      <c r="K959" s="1">
        <v>62.68</v>
      </c>
      <c r="L959" s="1">
        <v>0</v>
      </c>
      <c r="M959" s="16">
        <f t="shared" si="14"/>
        <v>62.68</v>
      </c>
      <c r="N959" s="1">
        <v>0</v>
      </c>
    </row>
    <row r="960" spans="1:14">
      <c r="A960" s="2">
        <v>46010</v>
      </c>
      <c r="B960" s="1">
        <v>1301</v>
      </c>
      <c r="C960" s="1">
        <v>121</v>
      </c>
      <c r="D960" s="1" t="s">
        <v>133</v>
      </c>
      <c r="E960" s="1" t="s">
        <v>40</v>
      </c>
      <c r="F960" s="1" t="s">
        <v>74</v>
      </c>
      <c r="G960" s="1">
        <v>12</v>
      </c>
      <c r="H960" s="1" t="s">
        <v>215</v>
      </c>
      <c r="I960" s="1" t="s">
        <v>33</v>
      </c>
      <c r="J960" s="1">
        <v>1</v>
      </c>
      <c r="K960" s="1">
        <v>8.4499999999999993</v>
      </c>
      <c r="L960" s="1">
        <v>0</v>
      </c>
      <c r="M960" s="16">
        <f t="shared" si="14"/>
        <v>8.4499999999999993</v>
      </c>
      <c r="N960" s="1">
        <v>0</v>
      </c>
    </row>
    <row r="961" spans="1:14">
      <c r="A961" s="2">
        <v>45972</v>
      </c>
      <c r="B961" s="1">
        <v>1115</v>
      </c>
      <c r="C961" s="1">
        <v>122</v>
      </c>
      <c r="D961" s="1" t="s">
        <v>125</v>
      </c>
      <c r="E961" s="1" t="s">
        <v>29</v>
      </c>
      <c r="F961" s="1" t="s">
        <v>35</v>
      </c>
      <c r="G961" s="1">
        <v>6</v>
      </c>
      <c r="H961" s="1" t="s">
        <v>99</v>
      </c>
      <c r="I961" s="1" t="s">
        <v>21</v>
      </c>
      <c r="J961" s="1">
        <v>3</v>
      </c>
      <c r="K961" s="1">
        <v>70.47</v>
      </c>
      <c r="L961" s="1">
        <v>25</v>
      </c>
      <c r="M961" s="16">
        <f t="shared" si="14"/>
        <v>158.5575</v>
      </c>
      <c r="N961" s="1">
        <v>0</v>
      </c>
    </row>
    <row r="962" spans="1:14">
      <c r="A962" s="2">
        <v>45972</v>
      </c>
      <c r="B962" s="1">
        <v>1115</v>
      </c>
      <c r="C962" s="1">
        <v>122</v>
      </c>
      <c r="D962" s="1" t="s">
        <v>125</v>
      </c>
      <c r="E962" s="1" t="s">
        <v>29</v>
      </c>
      <c r="F962" s="1" t="s">
        <v>35</v>
      </c>
      <c r="G962" s="1">
        <v>29</v>
      </c>
      <c r="H962" s="1" t="s">
        <v>96</v>
      </c>
      <c r="I962" s="1" t="s">
        <v>31</v>
      </c>
      <c r="J962" s="1">
        <v>1</v>
      </c>
      <c r="K962" s="1">
        <v>45.67</v>
      </c>
      <c r="L962" s="1">
        <v>25</v>
      </c>
      <c r="M962" s="16">
        <f t="shared" si="14"/>
        <v>34.252499999999998</v>
      </c>
      <c r="N962" s="1">
        <v>0</v>
      </c>
    </row>
    <row r="963" spans="1:14">
      <c r="A963" s="2">
        <v>45972</v>
      </c>
      <c r="B963" s="1">
        <v>1115</v>
      </c>
      <c r="C963" s="1">
        <v>122</v>
      </c>
      <c r="D963" s="1" t="s">
        <v>125</v>
      </c>
      <c r="E963" s="1" t="s">
        <v>29</v>
      </c>
      <c r="F963" s="1" t="s">
        <v>35</v>
      </c>
      <c r="G963" s="1">
        <v>20</v>
      </c>
      <c r="H963" s="1" t="s">
        <v>16</v>
      </c>
      <c r="I963" s="1" t="s">
        <v>17</v>
      </c>
      <c r="J963" s="1">
        <v>1</v>
      </c>
      <c r="K963" s="1">
        <v>32.76</v>
      </c>
      <c r="L963" s="1">
        <v>20</v>
      </c>
      <c r="M963" s="16">
        <f t="shared" ref="M963:M1000" si="15">J963*K963*(1-L963/100)</f>
        <v>26.207999999999998</v>
      </c>
      <c r="N963" s="1">
        <v>0</v>
      </c>
    </row>
    <row r="964" spans="1:14">
      <c r="A964" s="2">
        <v>45972</v>
      </c>
      <c r="B964" s="1">
        <v>1115</v>
      </c>
      <c r="C964" s="1">
        <v>122</v>
      </c>
      <c r="D964" s="1" t="s">
        <v>125</v>
      </c>
      <c r="E964" s="1" t="s">
        <v>29</v>
      </c>
      <c r="F964" s="1" t="s">
        <v>35</v>
      </c>
      <c r="G964" s="1">
        <v>38</v>
      </c>
      <c r="H964" s="1" t="s">
        <v>70</v>
      </c>
      <c r="I964" s="1" t="s">
        <v>27</v>
      </c>
      <c r="J964" s="1">
        <v>1</v>
      </c>
      <c r="K964" s="1">
        <v>25.14</v>
      </c>
      <c r="L964" s="1">
        <v>15</v>
      </c>
      <c r="M964" s="16">
        <f t="shared" si="15"/>
        <v>21.369</v>
      </c>
      <c r="N964" s="1">
        <v>0</v>
      </c>
    </row>
    <row r="965" spans="1:14">
      <c r="A965" s="2">
        <v>45985</v>
      </c>
      <c r="B965" s="1">
        <v>1174</v>
      </c>
      <c r="C965" s="1">
        <v>122</v>
      </c>
      <c r="D965" s="1" t="s">
        <v>125</v>
      </c>
      <c r="E965" s="1" t="s">
        <v>29</v>
      </c>
      <c r="F965" s="1" t="s">
        <v>35</v>
      </c>
      <c r="G965" s="1">
        <v>14</v>
      </c>
      <c r="H965" s="1" t="s">
        <v>105</v>
      </c>
      <c r="I965" s="1" t="s">
        <v>33</v>
      </c>
      <c r="J965" s="1">
        <v>2</v>
      </c>
      <c r="K965" s="1">
        <v>15.36</v>
      </c>
      <c r="L965" s="1">
        <v>0</v>
      </c>
      <c r="M965" s="16">
        <f t="shared" si="15"/>
        <v>30.72</v>
      </c>
      <c r="N965" s="1">
        <v>0</v>
      </c>
    </row>
    <row r="966" spans="1:14">
      <c r="A966" s="2">
        <v>45985</v>
      </c>
      <c r="B966" s="1">
        <v>1174</v>
      </c>
      <c r="C966" s="1">
        <v>122</v>
      </c>
      <c r="D966" s="1" t="s">
        <v>125</v>
      </c>
      <c r="E966" s="1" t="s">
        <v>29</v>
      </c>
      <c r="F966" s="1" t="s">
        <v>35</v>
      </c>
      <c r="G966" s="1">
        <v>11</v>
      </c>
      <c r="H966" s="1" t="s">
        <v>65</v>
      </c>
      <c r="I966" s="1" t="s">
        <v>33</v>
      </c>
      <c r="J966" s="1">
        <v>1</v>
      </c>
      <c r="K966" s="1">
        <v>58.35</v>
      </c>
      <c r="L966" s="1">
        <v>0</v>
      </c>
      <c r="M966" s="16">
        <f t="shared" si="15"/>
        <v>58.35</v>
      </c>
      <c r="N966" s="1">
        <v>0</v>
      </c>
    </row>
    <row r="967" spans="1:14">
      <c r="A967" s="2">
        <v>46297</v>
      </c>
      <c r="B967" s="1">
        <v>1472</v>
      </c>
      <c r="C967" s="1">
        <v>122</v>
      </c>
      <c r="D967" s="1" t="s">
        <v>125</v>
      </c>
      <c r="E967" s="1" t="s">
        <v>29</v>
      </c>
      <c r="F967" s="1" t="s">
        <v>35</v>
      </c>
      <c r="G967" s="1">
        <v>2</v>
      </c>
      <c r="H967" s="1" t="s">
        <v>80</v>
      </c>
      <c r="I967" s="1" t="s">
        <v>21</v>
      </c>
      <c r="J967" s="1">
        <v>1</v>
      </c>
      <c r="K967" s="1">
        <v>64.02</v>
      </c>
      <c r="L967" s="1">
        <v>15</v>
      </c>
      <c r="M967" s="16">
        <f t="shared" si="15"/>
        <v>54.416999999999994</v>
      </c>
      <c r="N967" s="1">
        <v>0</v>
      </c>
    </row>
    <row r="968" spans="1:14">
      <c r="A968" s="2">
        <v>46358</v>
      </c>
      <c r="B968" s="1">
        <v>1481</v>
      </c>
      <c r="C968" s="1">
        <v>122</v>
      </c>
      <c r="D968" s="1" t="s">
        <v>125</v>
      </c>
      <c r="E968" s="1" t="s">
        <v>29</v>
      </c>
      <c r="F968" s="1" t="s">
        <v>35</v>
      </c>
      <c r="G968" s="1">
        <v>40</v>
      </c>
      <c r="H968" s="1" t="s">
        <v>53</v>
      </c>
      <c r="I968" s="1" t="s">
        <v>27</v>
      </c>
      <c r="J968" s="1">
        <v>1</v>
      </c>
      <c r="K968" s="1">
        <v>47.25</v>
      </c>
      <c r="L968" s="1">
        <v>0</v>
      </c>
      <c r="M968" s="16">
        <f t="shared" si="15"/>
        <v>47.25</v>
      </c>
      <c r="N968" s="1">
        <v>0</v>
      </c>
    </row>
    <row r="969" spans="1:14">
      <c r="A969" s="2">
        <v>46067</v>
      </c>
      <c r="B969" s="1">
        <v>1487</v>
      </c>
      <c r="C969" s="1">
        <v>122</v>
      </c>
      <c r="D969" s="1" t="s">
        <v>125</v>
      </c>
      <c r="E969" s="1" t="s">
        <v>29</v>
      </c>
      <c r="F969" s="1" t="s">
        <v>35</v>
      </c>
      <c r="G969" s="1">
        <v>40</v>
      </c>
      <c r="H969" s="1" t="s">
        <v>53</v>
      </c>
      <c r="I969" s="1" t="s">
        <v>27</v>
      </c>
      <c r="J969" s="1">
        <v>1</v>
      </c>
      <c r="K969" s="1">
        <v>47.25</v>
      </c>
      <c r="L969" s="1">
        <v>0</v>
      </c>
      <c r="M969" s="16">
        <f t="shared" si="15"/>
        <v>47.25</v>
      </c>
      <c r="N969" s="1">
        <v>0</v>
      </c>
    </row>
    <row r="970" spans="1:14">
      <c r="A970" s="2">
        <v>46067</v>
      </c>
      <c r="B970" s="1">
        <v>1487</v>
      </c>
      <c r="C970" s="1">
        <v>122</v>
      </c>
      <c r="D970" s="1" t="s">
        <v>125</v>
      </c>
      <c r="E970" s="1" t="s">
        <v>29</v>
      </c>
      <c r="F970" s="1" t="s">
        <v>35</v>
      </c>
      <c r="G970" s="1">
        <v>39</v>
      </c>
      <c r="H970" s="1" t="s">
        <v>36</v>
      </c>
      <c r="I970" s="1" t="s">
        <v>27</v>
      </c>
      <c r="J970" s="1">
        <v>1</v>
      </c>
      <c r="K970" s="1">
        <v>39.979999999999997</v>
      </c>
      <c r="L970" s="1">
        <v>0</v>
      </c>
      <c r="M970" s="16">
        <f t="shared" si="15"/>
        <v>39.979999999999997</v>
      </c>
      <c r="N970" s="1">
        <v>0</v>
      </c>
    </row>
    <row r="971" spans="1:14">
      <c r="A971" s="2">
        <v>46067</v>
      </c>
      <c r="B971" s="1">
        <v>1487</v>
      </c>
      <c r="C971" s="1">
        <v>122</v>
      </c>
      <c r="D971" s="1" t="s">
        <v>125</v>
      </c>
      <c r="E971" s="1" t="s">
        <v>29</v>
      </c>
      <c r="F971" s="1" t="s">
        <v>35</v>
      </c>
      <c r="G971" s="1">
        <v>39</v>
      </c>
      <c r="H971" s="1" t="s">
        <v>36</v>
      </c>
      <c r="I971" s="1" t="s">
        <v>27</v>
      </c>
      <c r="J971" s="1">
        <v>1</v>
      </c>
      <c r="K971" s="1">
        <v>39.979999999999997</v>
      </c>
      <c r="L971" s="1">
        <v>5.5</v>
      </c>
      <c r="M971" s="16">
        <f t="shared" si="15"/>
        <v>37.781099999999995</v>
      </c>
      <c r="N971" s="1">
        <v>0</v>
      </c>
    </row>
    <row r="972" spans="1:14">
      <c r="A972" s="2">
        <v>46046</v>
      </c>
      <c r="B972" s="1">
        <v>1430</v>
      </c>
      <c r="C972" s="1">
        <v>123</v>
      </c>
      <c r="D972" s="1" t="s">
        <v>180</v>
      </c>
      <c r="E972" s="1" t="s">
        <v>40</v>
      </c>
      <c r="F972" s="1" t="s">
        <v>41</v>
      </c>
      <c r="G972" s="1">
        <v>40</v>
      </c>
      <c r="H972" s="1" t="s">
        <v>53</v>
      </c>
      <c r="I972" s="1" t="s">
        <v>27</v>
      </c>
      <c r="J972" s="1">
        <v>1</v>
      </c>
      <c r="K972" s="1">
        <v>47.25</v>
      </c>
      <c r="L972" s="1">
        <v>10</v>
      </c>
      <c r="M972" s="16">
        <f t="shared" si="15"/>
        <v>42.524999999999999</v>
      </c>
      <c r="N972" s="1">
        <v>0</v>
      </c>
    </row>
    <row r="973" spans="1:14">
      <c r="A973" s="2">
        <v>45820</v>
      </c>
      <c r="B973" s="1">
        <v>1233</v>
      </c>
      <c r="C973" s="1">
        <v>124</v>
      </c>
      <c r="D973" s="1" t="s">
        <v>157</v>
      </c>
      <c r="E973" s="1" t="s">
        <v>40</v>
      </c>
      <c r="F973" s="1" t="s">
        <v>35</v>
      </c>
      <c r="G973" s="1">
        <v>26</v>
      </c>
      <c r="H973" s="1" t="s">
        <v>83</v>
      </c>
      <c r="I973" s="1" t="s">
        <v>37</v>
      </c>
      <c r="J973" s="1">
        <v>1</v>
      </c>
      <c r="K973" s="1">
        <v>31.76</v>
      </c>
      <c r="L973" s="1">
        <v>0</v>
      </c>
      <c r="M973" s="16">
        <f t="shared" si="15"/>
        <v>31.76</v>
      </c>
      <c r="N973" s="1">
        <v>0</v>
      </c>
    </row>
    <row r="974" spans="1:14">
      <c r="A974" s="2">
        <v>45820</v>
      </c>
      <c r="B974" s="1">
        <v>1233</v>
      </c>
      <c r="C974" s="1">
        <v>124</v>
      </c>
      <c r="D974" s="1" t="s">
        <v>157</v>
      </c>
      <c r="E974" s="1" t="s">
        <v>40</v>
      </c>
      <c r="F974" s="1" t="s">
        <v>35</v>
      </c>
      <c r="G974" s="1">
        <v>3</v>
      </c>
      <c r="H974" s="1" t="s">
        <v>59</v>
      </c>
      <c r="I974" s="1" t="s">
        <v>21</v>
      </c>
      <c r="J974" s="1">
        <v>2</v>
      </c>
      <c r="K974" s="1">
        <v>25.47</v>
      </c>
      <c r="L974" s="1">
        <v>0</v>
      </c>
      <c r="M974" s="16">
        <f t="shared" si="15"/>
        <v>50.94</v>
      </c>
      <c r="N974" s="1">
        <v>0</v>
      </c>
    </row>
    <row r="975" spans="1:14">
      <c r="A975" s="2">
        <v>45820</v>
      </c>
      <c r="B975" s="1">
        <v>1233</v>
      </c>
      <c r="C975" s="1">
        <v>124</v>
      </c>
      <c r="D975" s="1" t="s">
        <v>157</v>
      </c>
      <c r="E975" s="1" t="s">
        <v>40</v>
      </c>
      <c r="F975" s="1" t="s">
        <v>35</v>
      </c>
      <c r="G975" s="1">
        <v>36</v>
      </c>
      <c r="H975" s="1" t="s">
        <v>62</v>
      </c>
      <c r="I975" s="1" t="s">
        <v>27</v>
      </c>
      <c r="J975" s="1">
        <v>1</v>
      </c>
      <c r="K975" s="1">
        <v>23.23</v>
      </c>
      <c r="L975" s="1">
        <v>0</v>
      </c>
      <c r="M975" s="16">
        <f t="shared" si="15"/>
        <v>23.23</v>
      </c>
      <c r="N975" s="1">
        <v>0</v>
      </c>
    </row>
    <row r="976" spans="1:14">
      <c r="A976" s="2">
        <v>45820</v>
      </c>
      <c r="B976" s="1">
        <v>1233</v>
      </c>
      <c r="C976" s="1">
        <v>124</v>
      </c>
      <c r="D976" s="1" t="s">
        <v>157</v>
      </c>
      <c r="E976" s="1" t="s">
        <v>40</v>
      </c>
      <c r="F976" s="1" t="s">
        <v>35</v>
      </c>
      <c r="G976" s="1">
        <v>14</v>
      </c>
      <c r="H976" s="1" t="s">
        <v>105</v>
      </c>
      <c r="I976" s="1" t="s">
        <v>33</v>
      </c>
      <c r="J976" s="1">
        <v>1</v>
      </c>
      <c r="K976" s="1">
        <v>15.36</v>
      </c>
      <c r="L976" s="1">
        <v>0</v>
      </c>
      <c r="M976" s="16">
        <f t="shared" si="15"/>
        <v>15.36</v>
      </c>
      <c r="N976" s="1">
        <v>0</v>
      </c>
    </row>
    <row r="977" spans="1:14">
      <c r="A977" s="2">
        <v>46009</v>
      </c>
      <c r="B977" s="1">
        <v>1295</v>
      </c>
      <c r="C977" s="1">
        <v>124</v>
      </c>
      <c r="D977" s="1" t="s">
        <v>157</v>
      </c>
      <c r="E977" s="1" t="s">
        <v>40</v>
      </c>
      <c r="F977" s="1" t="s">
        <v>35</v>
      </c>
      <c r="G977" s="1">
        <v>32</v>
      </c>
      <c r="H977" s="1" t="s">
        <v>103</v>
      </c>
      <c r="I977" s="1" t="s">
        <v>31</v>
      </c>
      <c r="J977" s="1">
        <v>1</v>
      </c>
      <c r="K977" s="1">
        <v>61.06</v>
      </c>
      <c r="L977" s="1">
        <v>0</v>
      </c>
      <c r="M977" s="16">
        <f t="shared" si="15"/>
        <v>61.06</v>
      </c>
      <c r="N977" s="1">
        <v>0</v>
      </c>
    </row>
    <row r="978" spans="1:14">
      <c r="A978" s="2">
        <v>46019</v>
      </c>
      <c r="B978" s="1">
        <v>1346</v>
      </c>
      <c r="C978" s="1">
        <v>124</v>
      </c>
      <c r="D978" s="1" t="s">
        <v>157</v>
      </c>
      <c r="E978" s="1" t="s">
        <v>40</v>
      </c>
      <c r="F978" s="1" t="s">
        <v>35</v>
      </c>
      <c r="G978" s="1">
        <v>3</v>
      </c>
      <c r="H978" s="1" t="s">
        <v>59</v>
      </c>
      <c r="I978" s="1" t="s">
        <v>21</v>
      </c>
      <c r="J978" s="1">
        <v>1</v>
      </c>
      <c r="K978" s="1">
        <v>25.47</v>
      </c>
      <c r="L978" s="1">
        <v>25</v>
      </c>
      <c r="M978" s="16">
        <f t="shared" si="15"/>
        <v>19.102499999999999</v>
      </c>
      <c r="N978" s="1">
        <v>0</v>
      </c>
    </row>
    <row r="979" spans="1:14">
      <c r="A979" s="2">
        <v>46036</v>
      </c>
      <c r="B979" s="1">
        <v>1404</v>
      </c>
      <c r="C979" s="1">
        <v>124</v>
      </c>
      <c r="D979" s="1" t="s">
        <v>157</v>
      </c>
      <c r="E979" s="1" t="s">
        <v>40</v>
      </c>
      <c r="F979" s="1" t="s">
        <v>35</v>
      </c>
      <c r="G979" s="1">
        <v>39</v>
      </c>
      <c r="H979" s="1" t="s">
        <v>36</v>
      </c>
      <c r="I979" s="1" t="s">
        <v>27</v>
      </c>
      <c r="J979" s="1">
        <v>2</v>
      </c>
      <c r="K979" s="1">
        <v>39.979999999999997</v>
      </c>
      <c r="L979" s="1">
        <v>0</v>
      </c>
      <c r="M979" s="16">
        <f t="shared" si="15"/>
        <v>79.959999999999994</v>
      </c>
      <c r="N979" s="1">
        <v>0</v>
      </c>
    </row>
    <row r="980" spans="1:14">
      <c r="A980" s="2">
        <v>46009</v>
      </c>
      <c r="B980" s="1">
        <v>1295</v>
      </c>
      <c r="C980" s="1">
        <f>_xlfn.XLOOKUP(D980,'Customer Data'!B:B,'Customer Data'!A:A,"Not Found")</f>
        <v>124</v>
      </c>
      <c r="D980" s="1" t="s">
        <v>157</v>
      </c>
      <c r="E980" s="1" t="s">
        <v>40</v>
      </c>
      <c r="F980" s="1" t="s">
        <v>35</v>
      </c>
      <c r="G980" s="1">
        <v>10</v>
      </c>
      <c r="H980" s="1" t="s">
        <v>32</v>
      </c>
      <c r="I980" s="1" t="s">
        <v>33</v>
      </c>
      <c r="J980" s="1">
        <v>1</v>
      </c>
      <c r="K980" s="1">
        <v>62.68</v>
      </c>
      <c r="L980" s="1">
        <v>0</v>
      </c>
      <c r="M980" s="16">
        <f t="shared" si="15"/>
        <v>62.68</v>
      </c>
      <c r="N980" s="1">
        <v>0</v>
      </c>
    </row>
    <row r="981" spans="1:14">
      <c r="A981" s="2">
        <v>45758</v>
      </c>
      <c r="B981" s="1">
        <v>1079</v>
      </c>
      <c r="C981" s="1">
        <v>125</v>
      </c>
      <c r="D981" s="1" t="s">
        <v>113</v>
      </c>
      <c r="E981" s="1" t="s">
        <v>14</v>
      </c>
      <c r="F981" s="1" t="s">
        <v>35</v>
      </c>
      <c r="G981" s="1">
        <v>24</v>
      </c>
      <c r="H981" s="1" t="s">
        <v>44</v>
      </c>
      <c r="I981" s="1" t="s">
        <v>37</v>
      </c>
      <c r="J981" s="1">
        <v>1</v>
      </c>
      <c r="K981" s="1">
        <v>43.42</v>
      </c>
      <c r="L981" s="1">
        <v>0</v>
      </c>
      <c r="M981" s="16">
        <f t="shared" si="15"/>
        <v>43.42</v>
      </c>
      <c r="N981" s="1">
        <v>0</v>
      </c>
    </row>
    <row r="982" spans="1:14">
      <c r="A982" s="2">
        <v>45965</v>
      </c>
      <c r="B982" s="1">
        <v>1079</v>
      </c>
      <c r="C982" s="1">
        <v>125</v>
      </c>
      <c r="D982" s="1" t="s">
        <v>113</v>
      </c>
      <c r="E982" s="1" t="s">
        <v>14</v>
      </c>
      <c r="F982" s="1" t="s">
        <v>35</v>
      </c>
      <c r="G982" s="1">
        <v>36</v>
      </c>
      <c r="H982" s="1" t="s">
        <v>62</v>
      </c>
      <c r="I982" s="1" t="s">
        <v>27</v>
      </c>
      <c r="J982" s="1">
        <v>2</v>
      </c>
      <c r="K982" s="1">
        <v>23.23</v>
      </c>
      <c r="L982" s="1">
        <v>5</v>
      </c>
      <c r="M982" s="16">
        <f t="shared" si="15"/>
        <v>44.137</v>
      </c>
      <c r="N982" s="1">
        <v>0</v>
      </c>
    </row>
    <row r="983" spans="1:14">
      <c r="A983" s="2">
        <v>45758</v>
      </c>
      <c r="B983" s="1">
        <v>1079</v>
      </c>
      <c r="C983" s="1">
        <v>125</v>
      </c>
      <c r="D983" s="1" t="s">
        <v>113</v>
      </c>
      <c r="E983" s="1" t="s">
        <v>14</v>
      </c>
      <c r="F983" s="1" t="s">
        <v>35</v>
      </c>
      <c r="G983" s="1">
        <v>12</v>
      </c>
      <c r="H983" s="1" t="s">
        <v>215</v>
      </c>
      <c r="I983" s="1" t="s">
        <v>33</v>
      </c>
      <c r="J983" s="1">
        <v>1</v>
      </c>
      <c r="K983" s="1">
        <v>8.4499999999999993</v>
      </c>
      <c r="L983" s="1">
        <v>0</v>
      </c>
      <c r="M983" s="16">
        <f t="shared" si="15"/>
        <v>8.4499999999999993</v>
      </c>
      <c r="N983" s="1">
        <v>0</v>
      </c>
    </row>
    <row r="984" spans="1:14">
      <c r="A984" s="2">
        <v>45976</v>
      </c>
      <c r="B984" s="1">
        <v>1134</v>
      </c>
      <c r="C984" s="1">
        <v>125</v>
      </c>
      <c r="D984" s="1" t="s">
        <v>113</v>
      </c>
      <c r="E984" s="1" t="s">
        <v>14</v>
      </c>
      <c r="F984" s="1" t="s">
        <v>35</v>
      </c>
      <c r="G984" s="1">
        <v>4</v>
      </c>
      <c r="H984" s="1" t="s">
        <v>92</v>
      </c>
      <c r="I984" s="1" t="s">
        <v>21</v>
      </c>
      <c r="J984" s="1">
        <v>3</v>
      </c>
      <c r="K984" s="1">
        <v>34.83</v>
      </c>
      <c r="L984" s="1">
        <v>0</v>
      </c>
      <c r="M984" s="16">
        <f t="shared" si="15"/>
        <v>104.49</v>
      </c>
      <c r="N984" s="1">
        <v>0</v>
      </c>
    </row>
    <row r="985" spans="1:14">
      <c r="A985" s="2">
        <v>45976</v>
      </c>
      <c r="B985" s="1">
        <v>1134</v>
      </c>
      <c r="C985" s="1">
        <v>125</v>
      </c>
      <c r="D985" s="1" t="s">
        <v>113</v>
      </c>
      <c r="E985" s="1" t="s">
        <v>14</v>
      </c>
      <c r="F985" s="1" t="s">
        <v>35</v>
      </c>
      <c r="G985" s="1">
        <v>17</v>
      </c>
      <c r="H985" s="1" t="s">
        <v>60</v>
      </c>
      <c r="I985" s="1" t="s">
        <v>17</v>
      </c>
      <c r="J985" s="1">
        <v>1</v>
      </c>
      <c r="K985" s="1">
        <v>6.61</v>
      </c>
      <c r="L985" s="1">
        <v>0</v>
      </c>
      <c r="M985" s="16">
        <f t="shared" si="15"/>
        <v>6.61</v>
      </c>
      <c r="N985" s="1">
        <v>0</v>
      </c>
    </row>
    <row r="986" spans="1:14">
      <c r="A986" s="2">
        <v>46015</v>
      </c>
      <c r="B986" s="1">
        <v>1323</v>
      </c>
      <c r="C986" s="1">
        <v>125</v>
      </c>
      <c r="D986" s="1" t="s">
        <v>113</v>
      </c>
      <c r="E986" s="1" t="s">
        <v>14</v>
      </c>
      <c r="F986" s="1" t="s">
        <v>35</v>
      </c>
      <c r="G986" s="1">
        <v>30</v>
      </c>
      <c r="H986" s="1" t="s">
        <v>57</v>
      </c>
      <c r="I986" s="1" t="s">
        <v>31</v>
      </c>
      <c r="J986" s="1">
        <v>1</v>
      </c>
      <c r="K986" s="1">
        <v>41.49</v>
      </c>
      <c r="L986" s="1">
        <v>10</v>
      </c>
      <c r="M986" s="16">
        <f t="shared" si="15"/>
        <v>37.341000000000001</v>
      </c>
      <c r="N986" s="1">
        <v>0</v>
      </c>
    </row>
    <row r="987" spans="1:14">
      <c r="A987" s="2">
        <v>46015</v>
      </c>
      <c r="B987" s="1">
        <v>1323</v>
      </c>
      <c r="C987" s="1">
        <v>125</v>
      </c>
      <c r="D987" s="1" t="s">
        <v>113</v>
      </c>
      <c r="E987" s="1" t="s">
        <v>14</v>
      </c>
      <c r="F987" s="1" t="s">
        <v>35</v>
      </c>
      <c r="G987" s="1">
        <v>13</v>
      </c>
      <c r="H987" s="1" t="s">
        <v>45</v>
      </c>
      <c r="I987" s="1" t="s">
        <v>33</v>
      </c>
      <c r="J987" s="1">
        <v>1</v>
      </c>
      <c r="K987" s="1">
        <v>54.9</v>
      </c>
      <c r="L987" s="1">
        <v>0</v>
      </c>
      <c r="M987" s="16">
        <f t="shared" si="15"/>
        <v>54.9</v>
      </c>
      <c r="N987" s="1">
        <v>0</v>
      </c>
    </row>
    <row r="988" spans="1:14">
      <c r="A988" s="2">
        <v>46015</v>
      </c>
      <c r="B988" s="1">
        <v>1323</v>
      </c>
      <c r="C988" s="1">
        <v>125</v>
      </c>
      <c r="D988" s="1" t="s">
        <v>113</v>
      </c>
      <c r="E988" s="1" t="s">
        <v>14</v>
      </c>
      <c r="F988" s="1" t="s">
        <v>35</v>
      </c>
      <c r="G988" s="1">
        <v>8</v>
      </c>
      <c r="H988" s="1" t="s">
        <v>84</v>
      </c>
      <c r="I988" s="1" t="s">
        <v>21</v>
      </c>
      <c r="J988" s="1">
        <v>1</v>
      </c>
      <c r="K988" s="1">
        <v>16.72</v>
      </c>
      <c r="L988" s="1">
        <v>10</v>
      </c>
      <c r="M988" s="16">
        <f t="shared" si="15"/>
        <v>15.048</v>
      </c>
      <c r="N988" s="1">
        <v>0</v>
      </c>
    </row>
    <row r="989" spans="1:14">
      <c r="A989" s="2">
        <v>46016</v>
      </c>
      <c r="B989" s="1">
        <v>1362</v>
      </c>
      <c r="C989" s="1">
        <v>125</v>
      </c>
      <c r="D989" s="1" t="s">
        <v>113</v>
      </c>
      <c r="E989" s="1" t="s">
        <v>14</v>
      </c>
      <c r="F989" s="1" t="s">
        <v>35</v>
      </c>
      <c r="G989" s="1">
        <v>18</v>
      </c>
      <c r="H989" s="1" t="s">
        <v>23</v>
      </c>
      <c r="I989" s="1" t="s">
        <v>17</v>
      </c>
      <c r="J989" s="1">
        <v>3</v>
      </c>
      <c r="K989" s="1">
        <v>44.01</v>
      </c>
      <c r="L989" s="1">
        <v>0</v>
      </c>
      <c r="M989" s="16">
        <f t="shared" si="15"/>
        <v>132.03</v>
      </c>
      <c r="N989" s="1">
        <v>0</v>
      </c>
    </row>
    <row r="990" spans="1:14">
      <c r="A990" s="2">
        <v>46022</v>
      </c>
      <c r="B990" s="1">
        <v>1362</v>
      </c>
      <c r="C990" s="1">
        <v>125</v>
      </c>
      <c r="D990" s="1" t="s">
        <v>113</v>
      </c>
      <c r="E990" s="1" t="s">
        <v>14</v>
      </c>
      <c r="F990" s="1" t="s">
        <v>35</v>
      </c>
      <c r="G990" s="1">
        <v>23</v>
      </c>
      <c r="H990" s="1" t="s">
        <v>98</v>
      </c>
      <c r="I990" s="1" t="s">
        <v>37</v>
      </c>
      <c r="J990" s="1">
        <v>3</v>
      </c>
      <c r="K990" s="1">
        <v>38.14</v>
      </c>
      <c r="L990" s="1">
        <v>5</v>
      </c>
      <c r="M990" s="16">
        <f t="shared" si="15"/>
        <v>108.699</v>
      </c>
      <c r="N990" s="1">
        <v>0</v>
      </c>
    </row>
    <row r="991" spans="1:14">
      <c r="A991" s="2">
        <v>46040</v>
      </c>
      <c r="B991" s="1">
        <v>1415</v>
      </c>
      <c r="C991" s="1">
        <v>125</v>
      </c>
      <c r="D991" s="1" t="s">
        <v>113</v>
      </c>
      <c r="E991" s="1" t="s">
        <v>14</v>
      </c>
      <c r="F991" s="1" t="s">
        <v>35</v>
      </c>
      <c r="G991" s="1">
        <v>21</v>
      </c>
      <c r="H991" s="1" t="s">
        <v>97</v>
      </c>
      <c r="I991" s="1" t="s">
        <v>17</v>
      </c>
      <c r="J991" s="1">
        <v>1</v>
      </c>
      <c r="K991" s="1">
        <v>49.37</v>
      </c>
      <c r="L991" s="1">
        <v>10</v>
      </c>
      <c r="M991" s="16">
        <f t="shared" si="15"/>
        <v>44.433</v>
      </c>
      <c r="N991" s="1">
        <v>0</v>
      </c>
    </row>
    <row r="992" spans="1:14">
      <c r="A992" s="2">
        <v>46040</v>
      </c>
      <c r="B992" s="1">
        <v>1415</v>
      </c>
      <c r="C992" s="1">
        <v>125</v>
      </c>
      <c r="D992" s="1" t="s">
        <v>113</v>
      </c>
      <c r="E992" s="1" t="s">
        <v>14</v>
      </c>
      <c r="F992" s="1" t="s">
        <v>35</v>
      </c>
      <c r="G992" s="1">
        <v>7</v>
      </c>
      <c r="H992" s="1" t="s">
        <v>46</v>
      </c>
      <c r="I992" s="1" t="s">
        <v>21</v>
      </c>
      <c r="J992" s="1">
        <v>1</v>
      </c>
      <c r="K992" s="1">
        <v>79.39</v>
      </c>
      <c r="L992" s="1">
        <v>5</v>
      </c>
      <c r="M992" s="16">
        <f t="shared" si="15"/>
        <v>75.420500000000004</v>
      </c>
      <c r="N992" s="1">
        <v>0</v>
      </c>
    </row>
    <row r="993" spans="1:14">
      <c r="A993" s="2">
        <v>46040</v>
      </c>
      <c r="B993" s="1">
        <v>1415</v>
      </c>
      <c r="C993" s="1">
        <v>125</v>
      </c>
      <c r="D993" s="1" t="s">
        <v>113</v>
      </c>
      <c r="E993" s="1" t="s">
        <v>14</v>
      </c>
      <c r="F993" s="1" t="s">
        <v>35</v>
      </c>
      <c r="G993" s="1">
        <v>15</v>
      </c>
      <c r="H993" s="1" t="s">
        <v>48</v>
      </c>
      <c r="I993" s="1" t="s">
        <v>33</v>
      </c>
      <c r="J993" s="1">
        <v>1</v>
      </c>
      <c r="K993" s="1">
        <v>47.71</v>
      </c>
      <c r="L993" s="1">
        <v>0</v>
      </c>
      <c r="M993" s="16">
        <f t="shared" si="15"/>
        <v>47.71</v>
      </c>
      <c r="N993" s="1">
        <v>0</v>
      </c>
    </row>
    <row r="994" spans="1:14">
      <c r="A994" s="2">
        <v>46040</v>
      </c>
      <c r="B994" s="1">
        <v>1415</v>
      </c>
      <c r="C994" s="1">
        <v>125</v>
      </c>
      <c r="D994" s="1" t="s">
        <v>113</v>
      </c>
      <c r="E994" s="1" t="s">
        <v>14</v>
      </c>
      <c r="F994" s="1" t="s">
        <v>35</v>
      </c>
      <c r="G994" s="1">
        <v>8</v>
      </c>
      <c r="H994" s="1" t="s">
        <v>84</v>
      </c>
      <c r="I994" s="14" t="str">
        <f>_xlfn.XLOOKUP(H994,'Product Data'!$B$2:$B$100,'Product Data'!$C$2:$C$100,"Not Found")</f>
        <v>Apparel</v>
      </c>
      <c r="J994" s="1">
        <v>2</v>
      </c>
      <c r="K994" s="1">
        <v>16.72</v>
      </c>
      <c r="L994" s="1">
        <v>10</v>
      </c>
      <c r="M994" s="16">
        <f t="shared" si="15"/>
        <v>30.096</v>
      </c>
      <c r="N994" s="1">
        <v>0</v>
      </c>
    </row>
    <row r="995" spans="1:14">
      <c r="A995" s="2">
        <v>46050</v>
      </c>
      <c r="B995" s="1">
        <v>1439</v>
      </c>
      <c r="C995" s="1">
        <v>125</v>
      </c>
      <c r="D995" s="1" t="s">
        <v>113</v>
      </c>
      <c r="E995" s="1" t="s">
        <v>14</v>
      </c>
      <c r="F995" s="1" t="s">
        <v>35</v>
      </c>
      <c r="G995" s="1">
        <v>11</v>
      </c>
      <c r="H995" s="1" t="s">
        <v>65</v>
      </c>
      <c r="I995" s="1" t="s">
        <v>33</v>
      </c>
      <c r="J995" s="1">
        <v>2</v>
      </c>
      <c r="K995" s="1">
        <v>58.35</v>
      </c>
      <c r="L995" s="1">
        <v>10</v>
      </c>
      <c r="M995" s="16">
        <f t="shared" si="15"/>
        <v>105.03</v>
      </c>
      <c r="N995" s="1">
        <v>0</v>
      </c>
    </row>
    <row r="996" spans="1:14">
      <c r="A996" s="2">
        <v>46050</v>
      </c>
      <c r="B996" s="1">
        <v>1439</v>
      </c>
      <c r="C996" s="1">
        <v>125</v>
      </c>
      <c r="D996" s="1" t="s">
        <v>113</v>
      </c>
      <c r="E996" s="1" t="s">
        <v>14</v>
      </c>
      <c r="F996" s="1" t="s">
        <v>35</v>
      </c>
      <c r="G996" s="1">
        <v>1</v>
      </c>
      <c r="H996" s="1" t="str">
        <f>IF(I996="Apparel","Joggers",IF(I996="Beauty","Vitamin C Serum",IF(I996="Electronics","Wireless Earbuds",IF(I996="Home","LED Lamp",IF(I996="Sports","Water Bottle",IF(I996="Toys","RC Car",""))))))</f>
        <v>Joggers</v>
      </c>
      <c r="I996" s="1" t="s">
        <v>21</v>
      </c>
      <c r="J996" s="1">
        <v>1</v>
      </c>
      <c r="K996" s="1">
        <v>47.45</v>
      </c>
      <c r="L996" s="1">
        <v>0</v>
      </c>
      <c r="M996" s="16">
        <f t="shared" si="15"/>
        <v>47.45</v>
      </c>
      <c r="N996" s="1">
        <v>0</v>
      </c>
    </row>
    <row r="997" spans="1:14">
      <c r="A997" s="2">
        <v>46050</v>
      </c>
      <c r="B997" s="1">
        <v>1439</v>
      </c>
      <c r="C997" s="1">
        <v>125</v>
      </c>
      <c r="D997" s="1" t="s">
        <v>113</v>
      </c>
      <c r="E997" s="1" t="s">
        <v>14</v>
      </c>
      <c r="F997" s="1" t="s">
        <v>35</v>
      </c>
      <c r="G997" s="1">
        <v>3</v>
      </c>
      <c r="H997" s="1" t="s">
        <v>59</v>
      </c>
      <c r="I997" s="1" t="s">
        <v>21</v>
      </c>
      <c r="J997" s="1">
        <v>1</v>
      </c>
      <c r="K997" s="1">
        <v>25.47</v>
      </c>
      <c r="L997" s="1">
        <v>10</v>
      </c>
      <c r="M997" s="16">
        <f t="shared" si="15"/>
        <v>22.922999999999998</v>
      </c>
      <c r="N997" s="1">
        <v>0</v>
      </c>
    </row>
    <row r="998" spans="1:14">
      <c r="A998" s="2">
        <v>46069</v>
      </c>
      <c r="B998" s="1">
        <v>1493</v>
      </c>
      <c r="C998" s="1">
        <v>125</v>
      </c>
      <c r="D998" s="1" t="s">
        <v>113</v>
      </c>
      <c r="E998" s="1" t="s">
        <v>14</v>
      </c>
      <c r="F998" s="1" t="s">
        <v>35</v>
      </c>
      <c r="G998" s="1">
        <v>11</v>
      </c>
      <c r="H998" s="1" t="s">
        <v>65</v>
      </c>
      <c r="I998" s="1" t="s">
        <v>33</v>
      </c>
      <c r="J998" s="1">
        <v>3</v>
      </c>
      <c r="K998" s="1">
        <v>58.35</v>
      </c>
      <c r="L998" s="1">
        <v>10</v>
      </c>
      <c r="M998" s="16">
        <f t="shared" si="15"/>
        <v>157.54500000000002</v>
      </c>
      <c r="N998" s="1">
        <v>0</v>
      </c>
    </row>
    <row r="999" spans="1:14">
      <c r="A999" s="2">
        <v>46080</v>
      </c>
      <c r="B999" s="1">
        <v>1541</v>
      </c>
      <c r="C999" s="1">
        <v>125</v>
      </c>
      <c r="D999" s="1" t="s">
        <v>113</v>
      </c>
      <c r="E999" s="1" t="s">
        <v>14</v>
      </c>
      <c r="F999" s="1" t="s">
        <v>35</v>
      </c>
      <c r="G999" s="1">
        <v>34</v>
      </c>
      <c r="H999" s="1" t="s">
        <v>130</v>
      </c>
      <c r="I999" s="1" t="s">
        <v>31</v>
      </c>
      <c r="J999" s="1">
        <v>2</v>
      </c>
      <c r="K999" s="1">
        <v>58.26</v>
      </c>
      <c r="L999" s="1">
        <v>5</v>
      </c>
      <c r="M999" s="16">
        <f t="shared" si="15"/>
        <v>110.69399999999999</v>
      </c>
      <c r="N999" s="1">
        <v>0</v>
      </c>
    </row>
    <row r="1000" spans="1:14">
      <c r="A1000" s="2">
        <v>46081</v>
      </c>
      <c r="B1000" s="1">
        <v>1546</v>
      </c>
      <c r="C1000" s="1">
        <v>125</v>
      </c>
      <c r="D1000" s="1" t="s">
        <v>113</v>
      </c>
      <c r="E1000" s="1" t="s">
        <v>14</v>
      </c>
      <c r="F1000" s="1" t="s">
        <v>35</v>
      </c>
      <c r="G1000" s="1">
        <v>11</v>
      </c>
      <c r="H1000" s="1" t="s">
        <v>65</v>
      </c>
      <c r="I1000" s="1" t="s">
        <v>33</v>
      </c>
      <c r="J1000" s="1">
        <v>2</v>
      </c>
      <c r="K1000" s="1">
        <v>58.35</v>
      </c>
      <c r="L1000" s="1">
        <v>25</v>
      </c>
      <c r="M1000" s="16">
        <f t="shared" si="15"/>
        <v>87.525000000000006</v>
      </c>
      <c r="N1000" s="1">
        <v>0</v>
      </c>
    </row>
  </sheetData>
  <pageMargins left="0.7" right="0.7" top="0.75" bottom="0.75" header="0.3" footer="0.3"/>
  <ignoredErrors>
    <ignoredError sqref="C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F6660-0687-48B2-AD77-72F6ED01DE9B}">
  <sheetPr>
    <tabColor theme="8"/>
  </sheetPr>
  <dimension ref="A1:F111"/>
  <sheetViews>
    <sheetView workbookViewId="0">
      <selection activeCell="J9" sqref="J9"/>
    </sheetView>
  </sheetViews>
  <sheetFormatPr defaultRowHeight="14.4"/>
  <cols>
    <col min="1" max="1" width="11.21875" bestFit="1" customWidth="1"/>
    <col min="2" max="2" width="18.109375" style="1" bestFit="1" customWidth="1"/>
    <col min="3" max="3" width="10.109375" style="1" bestFit="1" customWidth="1"/>
    <col min="4" max="4" width="9.77734375" bestFit="1" customWidth="1"/>
    <col min="5" max="5" width="24.44140625" style="1" bestFit="1" customWidth="1"/>
    <col min="6" max="6" width="9.21875" style="1" bestFit="1" customWidth="1"/>
  </cols>
  <sheetData>
    <row r="1" spans="1:6">
      <c r="A1" s="19" t="s">
        <v>188</v>
      </c>
      <c r="B1" s="19" t="s">
        <v>187</v>
      </c>
      <c r="C1" s="20" t="s">
        <v>189</v>
      </c>
      <c r="D1" s="20" t="s">
        <v>190</v>
      </c>
      <c r="E1" s="20" t="s">
        <v>191</v>
      </c>
      <c r="F1" s="20" t="s">
        <v>192</v>
      </c>
    </row>
    <row r="2" spans="1:6">
      <c r="A2" s="1">
        <f>_xlfn.XLOOKUP(B2,'NOVACART DATA'!$D$2:$D$1000,'NOVACART DATA'!$C$2:$C$1000,"Not Found")</f>
        <v>1</v>
      </c>
      <c r="B2" s="1" t="str" cm="1">
        <f t="array" ref="B2:B110">_xlfn.UNIQUE('NOVACART DATA'!$D$2:$D$1000)</f>
        <v>Morgan Mendez</v>
      </c>
      <c r="C2" s="1" t="str">
        <f>LOWER(_xlfn.TEXTBEFORE(B2," "))</f>
        <v>morgan</v>
      </c>
      <c r="D2" s="1" t="str">
        <f>LOWER(_xlfn.TEXTAFTER(B2," "))</f>
        <v>mendez</v>
      </c>
      <c r="E2" s="1" t="str">
        <f>CONCATENATE(C2,".",D2,"@gmail.com")</f>
        <v>morgan.mendez@gmail.com</v>
      </c>
      <c r="F2" s="1" t="str">
        <f>_xlfn.XLOOKUP(A2,'NOVACART DATA'!C:C,'NOVACART DATA'!E:E,"Not Found")</f>
        <v>Regular</v>
      </c>
    </row>
    <row r="3" spans="1:6">
      <c r="A3" s="1">
        <f>_xlfn.XLOOKUP(B3,'NOVACART DATA'!$D$2:$D$1000,'NOVACART DATA'!$C$2:$C$1000,"Not Found")</f>
        <v>2</v>
      </c>
      <c r="B3" s="1" t="str">
        <v>Avery Tan</v>
      </c>
      <c r="C3" s="1" t="str">
        <f t="shared" ref="C3:C66" si="0">LOWER(_xlfn.TEXTBEFORE(B3," "))</f>
        <v>avery</v>
      </c>
      <c r="D3" s="1" t="str">
        <f t="shared" ref="D3:D66" si="1">LOWER(_xlfn.TEXTAFTER(B3," "))</f>
        <v>tan</v>
      </c>
      <c r="E3" s="1" t="str">
        <f t="shared" ref="E3:E66" si="2">CONCATENATE(C3,".",D3,"@gmail.com")</f>
        <v>avery.tan@gmail.com</v>
      </c>
      <c r="F3" s="1" t="str">
        <f>_xlfn.XLOOKUP(A3,'NOVACART DATA'!C:C,'NOVACART DATA'!E:E,"Not Found")</f>
        <v>New</v>
      </c>
    </row>
    <row r="4" spans="1:6">
      <c r="A4" s="1">
        <f>_xlfn.XLOOKUP(B4,'NOVACART DATA'!$D$2:$D$1000,'NOVACART DATA'!$C$2:$C$1000,"Not Found")</f>
        <v>3</v>
      </c>
      <c r="B4" s="1" t="str">
        <v>Jordan Okafor</v>
      </c>
      <c r="C4" s="1" t="str">
        <f t="shared" si="0"/>
        <v>jordan</v>
      </c>
      <c r="D4" s="1" t="str">
        <f t="shared" si="1"/>
        <v>okafor</v>
      </c>
      <c r="E4" s="1" t="str">
        <f t="shared" si="2"/>
        <v>jordan.okafor@gmail.com</v>
      </c>
      <c r="F4" s="1" t="str">
        <f>_xlfn.XLOOKUP(A4,'NOVACART DATA'!C:C,'NOVACART DATA'!E:E,"Not Found")</f>
        <v>New</v>
      </c>
    </row>
    <row r="5" spans="1:6">
      <c r="A5" s="1">
        <f>_xlfn.XLOOKUP(B5,'NOVACART DATA'!$D$2:$D$1000,'NOVACART DATA'!$C$2:$C$1000,"Not Found")</f>
        <v>4</v>
      </c>
      <c r="B5" s="1" t="str">
        <v>Tessa Osei</v>
      </c>
      <c r="C5" s="1" t="str">
        <f t="shared" si="0"/>
        <v>tessa</v>
      </c>
      <c r="D5" s="1" t="str">
        <f t="shared" si="1"/>
        <v>osei</v>
      </c>
      <c r="E5" s="1" t="str">
        <f t="shared" si="2"/>
        <v>tessa.osei@gmail.com</v>
      </c>
      <c r="F5" s="1" t="str">
        <f>_xlfn.XLOOKUP(A5,'NOVACART DATA'!C:C,'NOVACART DATA'!E:E,"Not Found")</f>
        <v>Regular</v>
      </c>
    </row>
    <row r="6" spans="1:6">
      <c r="A6" s="1">
        <f>_xlfn.XLOOKUP(B6,'NOVACART DATA'!$D$2:$D$1000,'NOVACART DATA'!$C$2:$C$1000,"Not Found")</f>
        <v>5</v>
      </c>
      <c r="B6" s="1" t="str">
        <v>Sasha Osei</v>
      </c>
      <c r="C6" s="1" t="str">
        <f t="shared" si="0"/>
        <v>sasha</v>
      </c>
      <c r="D6" s="1" t="str">
        <f t="shared" si="1"/>
        <v>osei</v>
      </c>
      <c r="E6" s="1" t="str">
        <f t="shared" si="2"/>
        <v>sasha.osei@gmail.com</v>
      </c>
      <c r="F6" s="1" t="str">
        <f>_xlfn.XLOOKUP(A6,'NOVACART DATA'!C:C,'NOVACART DATA'!E:E,"Not Found")</f>
        <v>New</v>
      </c>
    </row>
    <row r="7" spans="1:6">
      <c r="A7" s="1">
        <f>_xlfn.XLOOKUP(B7,'NOVACART DATA'!$D$2:$D$1000,'NOVACART DATA'!$C$2:$C$1000,"Not Found")</f>
        <v>6</v>
      </c>
      <c r="B7" s="1" t="str">
        <v>Owen Ahmed</v>
      </c>
      <c r="C7" s="1" t="str">
        <f t="shared" si="0"/>
        <v>owen</v>
      </c>
      <c r="D7" s="1" t="str">
        <f t="shared" si="1"/>
        <v>ahmed</v>
      </c>
      <c r="E7" s="1" t="str">
        <f t="shared" si="2"/>
        <v>owen.ahmed@gmail.com</v>
      </c>
      <c r="F7" s="1" t="str">
        <f>_xlfn.XLOOKUP(A7,'NOVACART DATA'!C:C,'NOVACART DATA'!E:E,"Not Found")</f>
        <v>Loyal</v>
      </c>
    </row>
    <row r="8" spans="1:6">
      <c r="A8" s="1">
        <f>_xlfn.XLOOKUP(B8,'NOVACART DATA'!$D$2:$D$1000,'NOVACART DATA'!$C$2:$C$1000,"Not Found")</f>
        <v>7</v>
      </c>
      <c r="B8" s="1" t="str">
        <v>Leo Romano</v>
      </c>
      <c r="C8" s="1" t="str">
        <f t="shared" si="0"/>
        <v>leo</v>
      </c>
      <c r="D8" s="1" t="str">
        <f t="shared" si="1"/>
        <v>romano</v>
      </c>
      <c r="E8" s="1" t="str">
        <f t="shared" si="2"/>
        <v>leo.romano@gmail.com</v>
      </c>
      <c r="F8" s="1" t="str">
        <f>_xlfn.XLOOKUP(A8,'NOVACART DATA'!C:C,'NOVACART DATA'!E:E,"Not Found")</f>
        <v>Loyal</v>
      </c>
    </row>
    <row r="9" spans="1:6">
      <c r="A9" s="1">
        <f>_xlfn.XLOOKUP(B9,'NOVACART DATA'!$D$2:$D$1000,'NOVACART DATA'!$C$2:$C$1000,"Not Found")</f>
        <v>8</v>
      </c>
      <c r="B9" s="1" t="str">
        <v>Noel Larsen</v>
      </c>
      <c r="C9" s="1" t="str">
        <f t="shared" si="0"/>
        <v>noel</v>
      </c>
      <c r="D9" s="1" t="str">
        <f t="shared" si="1"/>
        <v>larsen</v>
      </c>
      <c r="E9" s="1" t="str">
        <f t="shared" si="2"/>
        <v>noel.larsen@gmail.com</v>
      </c>
      <c r="F9" s="1" t="str">
        <f>_xlfn.XLOOKUP(A9,'NOVACART DATA'!C:C,'NOVACART DATA'!E:E,"Not Found")</f>
        <v>Loyal</v>
      </c>
    </row>
    <row r="10" spans="1:6">
      <c r="A10" s="1">
        <f>_xlfn.XLOOKUP(B10,'NOVACART DATA'!$D$2:$D$1000,'NOVACART DATA'!$C$2:$C$1000,"Not Found")</f>
        <v>10</v>
      </c>
      <c r="B10" s="1" t="str">
        <v>Ivy Ibarra</v>
      </c>
      <c r="C10" s="1" t="str">
        <f t="shared" si="0"/>
        <v>ivy</v>
      </c>
      <c r="D10" s="1" t="str">
        <f t="shared" si="1"/>
        <v>ibarra</v>
      </c>
      <c r="E10" s="1" t="str">
        <f t="shared" si="2"/>
        <v>ivy.ibarra@gmail.com</v>
      </c>
      <c r="F10" s="1" t="str">
        <f>_xlfn.XLOOKUP(A10,'NOVACART DATA'!C:C,'NOVACART DATA'!E:E,"Not Found")</f>
        <v>At-Risk</v>
      </c>
    </row>
    <row r="11" spans="1:6">
      <c r="A11" s="1">
        <f>_xlfn.XLOOKUP(B11,'NOVACART DATA'!$D$2:$D$1000,'NOVACART DATA'!$C$2:$C$1000,"Not Found")</f>
        <v>12</v>
      </c>
      <c r="B11" s="1" t="str">
        <v>Rowan Romano</v>
      </c>
      <c r="C11" s="1" t="str">
        <f t="shared" si="0"/>
        <v>rowan</v>
      </c>
      <c r="D11" s="1" t="str">
        <f t="shared" si="1"/>
        <v>romano</v>
      </c>
      <c r="E11" s="1" t="str">
        <f t="shared" si="2"/>
        <v>rowan.romano@gmail.com</v>
      </c>
      <c r="F11" s="1" t="str">
        <f>_xlfn.XLOOKUP(A11,'NOVACART DATA'!C:C,'NOVACART DATA'!E:E,"Not Found")</f>
        <v>Champion</v>
      </c>
    </row>
    <row r="12" spans="1:6">
      <c r="A12" s="1">
        <f>_xlfn.XLOOKUP(B12,'NOVACART DATA'!$D$2:$D$1000,'NOVACART DATA'!$C$2:$C$1000,"Not Found")</f>
        <v>13</v>
      </c>
      <c r="B12" s="1" t="str">
        <v>Maya Reyes</v>
      </c>
      <c r="C12" s="1" t="str">
        <f t="shared" si="0"/>
        <v>maya</v>
      </c>
      <c r="D12" s="1" t="str">
        <f t="shared" si="1"/>
        <v>reyes</v>
      </c>
      <c r="E12" s="1" t="str">
        <f t="shared" si="2"/>
        <v>maya.reyes@gmail.com</v>
      </c>
      <c r="F12" s="1" t="str">
        <f>_xlfn.XLOOKUP(A12,'NOVACART DATA'!C:C,'NOVACART DATA'!E:E,"Not Found")</f>
        <v>At-Risk</v>
      </c>
    </row>
    <row r="13" spans="1:6">
      <c r="A13" s="1">
        <f>_xlfn.XLOOKUP(B13,'NOVACART DATA'!$D$2:$D$1000,'NOVACART DATA'!$C$2:$C$1000,"Not Found")</f>
        <v>14</v>
      </c>
      <c r="B13" s="1" t="str">
        <v>Jordan Ahmed</v>
      </c>
      <c r="C13" s="1" t="str">
        <f t="shared" si="0"/>
        <v>jordan</v>
      </c>
      <c r="D13" s="1" t="str">
        <f t="shared" si="1"/>
        <v>ahmed</v>
      </c>
      <c r="E13" s="1" t="str">
        <f t="shared" si="2"/>
        <v>jordan.ahmed@gmail.com</v>
      </c>
      <c r="F13" s="1" t="str">
        <f>_xlfn.XLOOKUP(A13,'NOVACART DATA'!C:C,'NOVACART DATA'!E:E,"Not Found")</f>
        <v>New</v>
      </c>
    </row>
    <row r="14" spans="1:6">
      <c r="A14" s="1">
        <f>_xlfn.XLOOKUP(B14,'NOVACART DATA'!$D$2:$D$1000,'NOVACART DATA'!$C$2:$C$1000,"Not Found")</f>
        <v>15</v>
      </c>
      <c r="B14" s="1" t="str">
        <v>Kai Reyes</v>
      </c>
      <c r="C14" s="1" t="str">
        <f t="shared" si="0"/>
        <v>kai</v>
      </c>
      <c r="D14" s="1" t="str">
        <f t="shared" si="1"/>
        <v>reyes</v>
      </c>
      <c r="E14" s="1" t="str">
        <f t="shared" si="2"/>
        <v>kai.reyes@gmail.com</v>
      </c>
      <c r="F14" s="1" t="str">
        <f>_xlfn.XLOOKUP(A14,'NOVACART DATA'!C:C,'NOVACART DATA'!E:E,"Not Found")</f>
        <v>At-Risk</v>
      </c>
    </row>
    <row r="15" spans="1:6">
      <c r="A15" s="1">
        <f>_xlfn.XLOOKUP(B15,'NOVACART DATA'!$D$2:$D$1000,'NOVACART DATA'!$C$2:$C$1000,"Not Found")</f>
        <v>16</v>
      </c>
      <c r="B15" s="1" t="str">
        <v>Morgan Ibarra</v>
      </c>
      <c r="C15" s="1" t="str">
        <f t="shared" si="0"/>
        <v>morgan</v>
      </c>
      <c r="D15" s="1" t="str">
        <f t="shared" si="1"/>
        <v>ibarra</v>
      </c>
      <c r="E15" s="1" t="str">
        <f t="shared" si="2"/>
        <v>morgan.ibarra@gmail.com</v>
      </c>
      <c r="F15" s="1" t="str">
        <f>_xlfn.XLOOKUP(A15,'NOVACART DATA'!C:C,'NOVACART DATA'!E:E,"Not Found")</f>
        <v>Loyal</v>
      </c>
    </row>
    <row r="16" spans="1:6">
      <c r="A16" s="1">
        <f>_xlfn.XLOOKUP(B16,'NOVACART DATA'!$D$2:$D$1000,'NOVACART DATA'!$C$2:$C$1000,"Not Found")</f>
        <v>17</v>
      </c>
      <c r="B16" s="1" t="str">
        <v>Sasha Okafor</v>
      </c>
      <c r="C16" s="1" t="str">
        <f t="shared" si="0"/>
        <v>sasha</v>
      </c>
      <c r="D16" s="1" t="str">
        <f t="shared" si="1"/>
        <v>okafor</v>
      </c>
      <c r="E16" s="1" t="str">
        <f t="shared" si="2"/>
        <v>sasha.okafor@gmail.com</v>
      </c>
      <c r="F16" s="1" t="str">
        <f>_xlfn.XLOOKUP(A16,'NOVACART DATA'!C:C,'NOVACART DATA'!E:E,"Not Found")</f>
        <v>At-Risk</v>
      </c>
    </row>
    <row r="17" spans="1:6">
      <c r="A17" s="1">
        <f>_xlfn.XLOOKUP(B17,'NOVACART DATA'!$D$2:$D$1000,'NOVACART DATA'!$C$2:$C$1000,"Not Found")</f>
        <v>18</v>
      </c>
      <c r="B17" s="1" t="str">
        <v>Cole Hassan</v>
      </c>
      <c r="C17" s="1" t="str">
        <f t="shared" si="0"/>
        <v>cole</v>
      </c>
      <c r="D17" s="1" t="str">
        <f t="shared" si="1"/>
        <v>hassan</v>
      </c>
      <c r="E17" s="1" t="str">
        <f t="shared" si="2"/>
        <v>cole.hassan@gmail.com</v>
      </c>
      <c r="F17" s="1" t="str">
        <f>_xlfn.XLOOKUP(A17,'NOVACART DATA'!C:C,'NOVACART DATA'!E:E,"Not Found")</f>
        <v>Regular</v>
      </c>
    </row>
    <row r="18" spans="1:6">
      <c r="A18" s="1">
        <f>_xlfn.XLOOKUP(B18,'NOVACART DATA'!$D$2:$D$1000,'NOVACART DATA'!$C$2:$C$1000,"Not Found")</f>
        <v>19</v>
      </c>
      <c r="B18" s="1" t="str">
        <v>Avery Costa</v>
      </c>
      <c r="C18" s="1" t="str">
        <f t="shared" si="0"/>
        <v>avery</v>
      </c>
      <c r="D18" s="1" t="str">
        <f t="shared" si="1"/>
        <v>costa</v>
      </c>
      <c r="E18" s="1" t="str">
        <f t="shared" si="2"/>
        <v>avery.costa@gmail.com</v>
      </c>
      <c r="F18" s="1" t="str">
        <f>_xlfn.XLOOKUP(A18,'NOVACART DATA'!C:C,'NOVACART DATA'!E:E,"Not Found")</f>
        <v>Regular</v>
      </c>
    </row>
    <row r="19" spans="1:6">
      <c r="A19" s="1">
        <f>_xlfn.XLOOKUP(B19,'NOVACART DATA'!$D$2:$D$1000,'NOVACART DATA'!$C$2:$C$1000,"Not Found")</f>
        <v>20</v>
      </c>
      <c r="B19" s="1" t="str">
        <v>Owen Kowalski</v>
      </c>
      <c r="C19" s="1" t="str">
        <f t="shared" si="0"/>
        <v>owen</v>
      </c>
      <c r="D19" s="1" t="str">
        <f t="shared" si="1"/>
        <v>kowalski</v>
      </c>
      <c r="E19" s="1" t="str">
        <f t="shared" si="2"/>
        <v>owen.kowalski@gmail.com</v>
      </c>
      <c r="F19" s="1" t="str">
        <f>_xlfn.XLOOKUP(A19,'NOVACART DATA'!C:C,'NOVACART DATA'!E:E,"Not Found")</f>
        <v>New</v>
      </c>
    </row>
    <row r="20" spans="1:6">
      <c r="A20" s="1">
        <f>_xlfn.XLOOKUP(B20,'NOVACART DATA'!$D$2:$D$1000,'NOVACART DATA'!$C$2:$C$1000,"Not Found")</f>
        <v>22</v>
      </c>
      <c r="B20" s="1" t="str">
        <v>Taylor Hassan</v>
      </c>
      <c r="C20" s="1" t="str">
        <f t="shared" si="0"/>
        <v>taylor</v>
      </c>
      <c r="D20" s="1" t="str">
        <f t="shared" si="1"/>
        <v>hassan</v>
      </c>
      <c r="E20" s="1" t="str">
        <f t="shared" si="2"/>
        <v>taylor.hassan@gmail.com</v>
      </c>
      <c r="F20" s="1" t="str">
        <f>_xlfn.XLOOKUP(A20,'NOVACART DATA'!C:C,'NOVACART DATA'!E:E,"Not Found")</f>
        <v>Regular</v>
      </c>
    </row>
    <row r="21" spans="1:6">
      <c r="A21" s="1">
        <f>_xlfn.XLOOKUP(B21,'NOVACART DATA'!$D$2:$D$1000,'NOVACART DATA'!$C$2:$C$1000,"Not Found")</f>
        <v>23</v>
      </c>
      <c r="B21" s="1" t="str">
        <v>Sasha Yamada</v>
      </c>
      <c r="C21" s="1" t="str">
        <f t="shared" si="0"/>
        <v>sasha</v>
      </c>
      <c r="D21" s="1" t="str">
        <f t="shared" si="1"/>
        <v>yamada</v>
      </c>
      <c r="E21" s="1" t="str">
        <f t="shared" si="2"/>
        <v>sasha.yamada@gmail.com</v>
      </c>
      <c r="F21" s="1" t="str">
        <f>_xlfn.XLOOKUP(A21,'NOVACART DATA'!C:C,'NOVACART DATA'!E:E,"Not Found")</f>
        <v>Regular</v>
      </c>
    </row>
    <row r="22" spans="1:6">
      <c r="A22" s="1">
        <f>_xlfn.XLOOKUP(B22,'NOVACART DATA'!$D$2:$D$1000,'NOVACART DATA'!$C$2:$C$1000,"Not Found")</f>
        <v>24</v>
      </c>
      <c r="B22" s="1" t="str">
        <v>Tessa Reyes</v>
      </c>
      <c r="C22" s="1" t="str">
        <f t="shared" si="0"/>
        <v>tessa</v>
      </c>
      <c r="D22" s="1" t="str">
        <f t="shared" si="1"/>
        <v>reyes</v>
      </c>
      <c r="E22" s="1" t="str">
        <f t="shared" si="2"/>
        <v>tessa.reyes@gmail.com</v>
      </c>
      <c r="F22" s="1" t="str">
        <f>_xlfn.XLOOKUP(A22,'NOVACART DATA'!C:C,'NOVACART DATA'!E:E,"Not Found")</f>
        <v>New</v>
      </c>
    </row>
    <row r="23" spans="1:6">
      <c r="A23" s="1">
        <f>_xlfn.XLOOKUP(B23,'NOVACART DATA'!$D$2:$D$1000,'NOVACART DATA'!$C$2:$C$1000,"Not Found")</f>
        <v>25</v>
      </c>
      <c r="B23" s="1" t="str">
        <v>Owen Ibarra</v>
      </c>
      <c r="C23" s="1" t="str">
        <f t="shared" si="0"/>
        <v>owen</v>
      </c>
      <c r="D23" s="1" t="str">
        <f t="shared" si="1"/>
        <v>ibarra</v>
      </c>
      <c r="E23" s="1" t="str">
        <f t="shared" si="2"/>
        <v>owen.ibarra@gmail.com</v>
      </c>
      <c r="F23" s="1" t="str">
        <f>_xlfn.XLOOKUP(A23,'NOVACART DATA'!C:C,'NOVACART DATA'!E:E,"Not Found")</f>
        <v>New</v>
      </c>
    </row>
    <row r="24" spans="1:6">
      <c r="A24" s="1">
        <f>_xlfn.XLOOKUP(B24,'NOVACART DATA'!$D$2:$D$1000,'NOVACART DATA'!$C$2:$C$1000,"Not Found")</f>
        <v>26</v>
      </c>
      <c r="B24" s="1" t="str">
        <v>Jordan Cohen</v>
      </c>
      <c r="C24" s="1" t="str">
        <f t="shared" si="0"/>
        <v>jordan</v>
      </c>
      <c r="D24" s="1" t="str">
        <f t="shared" si="1"/>
        <v>cohen</v>
      </c>
      <c r="E24" s="1" t="str">
        <f t="shared" si="2"/>
        <v>jordan.cohen@gmail.com</v>
      </c>
      <c r="F24" s="1" t="str">
        <f>_xlfn.XLOOKUP(A24,'NOVACART DATA'!C:C,'NOVACART DATA'!E:E,"Not Found")</f>
        <v>New</v>
      </c>
    </row>
    <row r="25" spans="1:6">
      <c r="A25" s="1">
        <f>_xlfn.XLOOKUP(B25,'NOVACART DATA'!$D$2:$D$1000,'NOVACART DATA'!$C$2:$C$1000,"Not Found")</f>
        <v>27</v>
      </c>
      <c r="B25" s="1" t="str">
        <v>Quinn Yamada</v>
      </c>
      <c r="C25" s="1" t="str">
        <f t="shared" si="0"/>
        <v>quinn</v>
      </c>
      <c r="D25" s="1" t="str">
        <f t="shared" si="1"/>
        <v>yamada</v>
      </c>
      <c r="E25" s="1" t="str">
        <f t="shared" si="2"/>
        <v>quinn.yamada@gmail.com</v>
      </c>
      <c r="F25" s="1" t="str">
        <f>_xlfn.XLOOKUP(A25,'NOVACART DATA'!C:C,'NOVACART DATA'!E:E,"Not Found")</f>
        <v>Regular</v>
      </c>
    </row>
    <row r="26" spans="1:6">
      <c r="A26" s="1">
        <f>_xlfn.XLOOKUP(B26,'NOVACART DATA'!$D$2:$D$1000,'NOVACART DATA'!$C$2:$C$1000,"Not Found")</f>
        <v>28</v>
      </c>
      <c r="B26" s="1" t="str">
        <v>Jordan Costa</v>
      </c>
      <c r="C26" s="1" t="str">
        <f t="shared" si="0"/>
        <v>jordan</v>
      </c>
      <c r="D26" s="1" t="str">
        <f t="shared" si="1"/>
        <v>costa</v>
      </c>
      <c r="E26" s="1" t="str">
        <f t="shared" si="2"/>
        <v>jordan.costa@gmail.com</v>
      </c>
      <c r="F26" s="1" t="str">
        <f>_xlfn.XLOOKUP(A26,'NOVACART DATA'!C:C,'NOVACART DATA'!E:E,"Not Found")</f>
        <v>At-Risk</v>
      </c>
    </row>
    <row r="27" spans="1:6">
      <c r="A27" s="1">
        <f>_xlfn.XLOOKUP(B27,'NOVACART DATA'!$D$2:$D$1000,'NOVACART DATA'!$C$2:$C$1000,"Not Found")</f>
        <v>29</v>
      </c>
      <c r="B27" s="1" t="str">
        <v>Quinn Reid</v>
      </c>
      <c r="C27" s="1" t="str">
        <f t="shared" si="0"/>
        <v>quinn</v>
      </c>
      <c r="D27" s="1" t="str">
        <f t="shared" si="1"/>
        <v>reid</v>
      </c>
      <c r="E27" s="1" t="str">
        <f t="shared" si="2"/>
        <v>quinn.reid@gmail.com</v>
      </c>
      <c r="F27" s="1" t="str">
        <f>_xlfn.XLOOKUP(A27,'NOVACART DATA'!C:C,'NOVACART DATA'!E:E,"Not Found")</f>
        <v>Regular</v>
      </c>
    </row>
    <row r="28" spans="1:6">
      <c r="A28" s="1">
        <f>_xlfn.XLOOKUP(B28,'NOVACART DATA'!$D$2:$D$1000,'NOVACART DATA'!$C$2:$C$1000,"Not Found")</f>
        <v>32</v>
      </c>
      <c r="B28" s="1" t="str">
        <v>Owen Brooks</v>
      </c>
      <c r="C28" s="1" t="str">
        <f t="shared" si="0"/>
        <v>owen</v>
      </c>
      <c r="D28" s="1" t="str">
        <f t="shared" si="1"/>
        <v>brooks</v>
      </c>
      <c r="E28" s="1" t="str">
        <f t="shared" si="2"/>
        <v>owen.brooks@gmail.com</v>
      </c>
      <c r="F28" s="1" t="str">
        <f>_xlfn.XLOOKUP(A28,'NOVACART DATA'!C:C,'NOVACART DATA'!E:E,"Not Found")</f>
        <v>Regular</v>
      </c>
    </row>
    <row r="29" spans="1:6">
      <c r="A29" s="1">
        <f>_xlfn.XLOOKUP(B29,'NOVACART DATA'!$D$2:$D$1000,'NOVACART DATA'!$C$2:$C$1000,"Not Found")</f>
        <v>33</v>
      </c>
      <c r="B29" s="1" t="str">
        <v>Lila Walsh</v>
      </c>
      <c r="C29" s="1" t="str">
        <f t="shared" si="0"/>
        <v>lila</v>
      </c>
      <c r="D29" s="1" t="str">
        <f t="shared" si="1"/>
        <v>walsh</v>
      </c>
      <c r="E29" s="1" t="str">
        <f t="shared" si="2"/>
        <v>lila.walsh@gmail.com</v>
      </c>
      <c r="F29" s="1" t="str">
        <f>_xlfn.XLOOKUP(A29,'NOVACART DATA'!C:C,'NOVACART DATA'!E:E,"Not Found")</f>
        <v>Regular</v>
      </c>
    </row>
    <row r="30" spans="1:6">
      <c r="A30" s="1">
        <f>_xlfn.XLOOKUP(B30,'NOVACART DATA'!$D$2:$D$1000,'NOVACART DATA'!$C$2:$C$1000,"Not Found")</f>
        <v>34</v>
      </c>
      <c r="B30" s="1" t="str">
        <v>Kai Park</v>
      </c>
      <c r="C30" s="1" t="str">
        <f t="shared" si="0"/>
        <v>kai</v>
      </c>
      <c r="D30" s="1" t="str">
        <f t="shared" si="1"/>
        <v>park</v>
      </c>
      <c r="E30" s="1" t="str">
        <f t="shared" si="2"/>
        <v>kai.park@gmail.com</v>
      </c>
      <c r="F30" s="1" t="str">
        <f>_xlfn.XLOOKUP(A30,'NOVACART DATA'!C:C,'NOVACART DATA'!E:E,"Not Found")</f>
        <v>New</v>
      </c>
    </row>
    <row r="31" spans="1:6">
      <c r="A31" s="1">
        <f>_xlfn.XLOOKUP(B31,'NOVACART DATA'!$D$2:$D$1000,'NOVACART DATA'!$C$2:$C$1000,"Not Found")</f>
        <v>35</v>
      </c>
      <c r="B31" s="1" t="str">
        <v>Maya Diaz</v>
      </c>
      <c r="C31" s="1" t="str">
        <f t="shared" si="0"/>
        <v>maya</v>
      </c>
      <c r="D31" s="1" t="str">
        <f t="shared" si="1"/>
        <v>diaz</v>
      </c>
      <c r="E31" s="1" t="str">
        <f t="shared" si="2"/>
        <v>maya.diaz@gmail.com</v>
      </c>
      <c r="F31" s="1" t="str">
        <f>_xlfn.XLOOKUP(A31,'NOVACART DATA'!C:C,'NOVACART DATA'!E:E,"Not Found")</f>
        <v>New</v>
      </c>
    </row>
    <row r="32" spans="1:6">
      <c r="A32" s="1">
        <f>_xlfn.XLOOKUP(B32,'NOVACART DATA'!$D$2:$D$1000,'NOVACART DATA'!$C$2:$C$1000,"Not Found")</f>
        <v>37</v>
      </c>
      <c r="B32" s="1" t="str">
        <v>Wren Petrov</v>
      </c>
      <c r="C32" s="1" t="str">
        <f t="shared" si="0"/>
        <v>wren</v>
      </c>
      <c r="D32" s="1" t="str">
        <f t="shared" si="1"/>
        <v>petrov</v>
      </c>
      <c r="E32" s="1" t="str">
        <f t="shared" si="2"/>
        <v>wren.petrov@gmail.com</v>
      </c>
      <c r="F32" s="1" t="str">
        <f>_xlfn.XLOOKUP(A32,'NOVACART DATA'!C:C,'NOVACART DATA'!E:E,"Not Found")</f>
        <v>Regular</v>
      </c>
    </row>
    <row r="33" spans="1:6">
      <c r="A33" s="1">
        <f>_xlfn.XLOOKUP(B33,'NOVACART DATA'!$D$2:$D$1000,'NOVACART DATA'!$C$2:$C$1000,"Not Found")</f>
        <v>38</v>
      </c>
      <c r="B33" s="1" t="str">
        <v>Sasha Marsh</v>
      </c>
      <c r="C33" s="1" t="str">
        <f t="shared" si="0"/>
        <v>sasha</v>
      </c>
      <c r="D33" s="1" t="str">
        <f t="shared" si="1"/>
        <v>marsh</v>
      </c>
      <c r="E33" s="1" t="str">
        <f t="shared" si="2"/>
        <v>sasha.marsh@gmail.com</v>
      </c>
      <c r="F33" s="1" t="str">
        <f>_xlfn.XLOOKUP(A33,'NOVACART DATA'!C:C,'NOVACART DATA'!E:E,"Not Found")</f>
        <v>New</v>
      </c>
    </row>
    <row r="34" spans="1:6">
      <c r="A34" s="1">
        <f>_xlfn.XLOOKUP(B34,'NOVACART DATA'!$D$2:$D$1000,'NOVACART DATA'!$C$2:$C$1000,"Not Found")</f>
        <v>39</v>
      </c>
      <c r="B34" s="1" t="str">
        <v>Avery Ahmed</v>
      </c>
      <c r="C34" s="1" t="str">
        <f t="shared" si="0"/>
        <v>avery</v>
      </c>
      <c r="D34" s="1" t="str">
        <f t="shared" si="1"/>
        <v>ahmed</v>
      </c>
      <c r="E34" s="1" t="str">
        <f t="shared" si="2"/>
        <v>avery.ahmed@gmail.com</v>
      </c>
      <c r="F34" s="1" t="str">
        <f>_xlfn.XLOOKUP(A34,'NOVACART DATA'!C:C,'NOVACART DATA'!E:E,"Not Found")</f>
        <v>Loyal</v>
      </c>
    </row>
    <row r="35" spans="1:6">
      <c r="A35" s="1">
        <f>_xlfn.XLOOKUP(B35,'NOVACART DATA'!$D$2:$D$1000,'NOVACART DATA'!$C$2:$C$1000,"Not Found")</f>
        <v>40</v>
      </c>
      <c r="B35" s="1" t="str">
        <v>Owen Patel</v>
      </c>
      <c r="C35" s="1" t="str">
        <f t="shared" si="0"/>
        <v>owen</v>
      </c>
      <c r="D35" s="1" t="str">
        <f t="shared" si="1"/>
        <v>patel</v>
      </c>
      <c r="E35" s="1" t="str">
        <f t="shared" si="2"/>
        <v>owen.patel@gmail.com</v>
      </c>
      <c r="F35" s="1" t="str">
        <f>_xlfn.XLOOKUP(A35,'NOVACART DATA'!C:C,'NOVACART DATA'!E:E,"Not Found")</f>
        <v>Regular</v>
      </c>
    </row>
    <row r="36" spans="1:6">
      <c r="A36" s="1">
        <f>_xlfn.XLOOKUP(B36,'NOVACART DATA'!$D$2:$D$1000,'NOVACART DATA'!$C$2:$C$1000,"Not Found")</f>
        <v>42</v>
      </c>
      <c r="B36" s="1" t="str">
        <v>Iris Reyes</v>
      </c>
      <c r="C36" s="1" t="str">
        <f t="shared" si="0"/>
        <v>iris</v>
      </c>
      <c r="D36" s="1" t="str">
        <f t="shared" si="1"/>
        <v>reyes</v>
      </c>
      <c r="E36" s="1" t="str">
        <f t="shared" si="2"/>
        <v>iris.reyes@gmail.com</v>
      </c>
      <c r="F36" s="1" t="str">
        <f>_xlfn.XLOOKUP(A36,'NOVACART DATA'!C:C,'NOVACART DATA'!E:E,"Not Found")</f>
        <v>New</v>
      </c>
    </row>
    <row r="37" spans="1:6">
      <c r="A37" s="1">
        <f>_xlfn.XLOOKUP(B37,'NOVACART DATA'!$D$2:$D$1000,'NOVACART DATA'!$C$2:$C$1000,"Not Found")</f>
        <v>43</v>
      </c>
      <c r="B37" s="1" t="str">
        <v>Tessa Okafor</v>
      </c>
      <c r="C37" s="1" t="str">
        <f t="shared" si="0"/>
        <v>tessa</v>
      </c>
      <c r="D37" s="1" t="str">
        <f t="shared" si="1"/>
        <v>okafor</v>
      </c>
      <c r="E37" s="1" t="str">
        <f t="shared" si="2"/>
        <v>tessa.okafor@gmail.com</v>
      </c>
      <c r="F37" s="1" t="str">
        <f>_xlfn.XLOOKUP(A37,'NOVACART DATA'!C:C,'NOVACART DATA'!E:E,"Not Found")</f>
        <v>At-Risk</v>
      </c>
    </row>
    <row r="38" spans="1:6">
      <c r="A38" s="1">
        <f>_xlfn.XLOOKUP(B38,'NOVACART DATA'!$D$2:$D$1000,'NOVACART DATA'!$C$2:$C$1000,"Not Found")</f>
        <v>44</v>
      </c>
      <c r="B38" s="1" t="str">
        <v>Priya Yamada</v>
      </c>
      <c r="C38" s="1" t="str">
        <f t="shared" si="0"/>
        <v>priya</v>
      </c>
      <c r="D38" s="1" t="str">
        <f t="shared" si="1"/>
        <v>yamada</v>
      </c>
      <c r="E38" s="1" t="str">
        <f t="shared" si="2"/>
        <v>priya.yamada@gmail.com</v>
      </c>
      <c r="F38" s="1" t="str">
        <f>_xlfn.XLOOKUP(A38,'NOVACART DATA'!C:C,'NOVACART DATA'!E:E,"Not Found")</f>
        <v>Regular</v>
      </c>
    </row>
    <row r="39" spans="1:6">
      <c r="A39" s="1">
        <f>_xlfn.XLOOKUP(B39,'NOVACART DATA'!$D$2:$D$1000,'NOVACART DATA'!$C$2:$C$1000,"Not Found")</f>
        <v>46</v>
      </c>
      <c r="B39" s="1" t="str">
        <v>Leo Tan</v>
      </c>
      <c r="C39" s="1" t="str">
        <f t="shared" si="0"/>
        <v>leo</v>
      </c>
      <c r="D39" s="1" t="str">
        <f t="shared" si="1"/>
        <v>tan</v>
      </c>
      <c r="E39" s="1" t="str">
        <f t="shared" si="2"/>
        <v>leo.tan@gmail.com</v>
      </c>
      <c r="F39" s="1" t="str">
        <f>_xlfn.XLOOKUP(A39,'NOVACART DATA'!C:C,'NOVACART DATA'!E:E,"Not Found")</f>
        <v>Loyal</v>
      </c>
    </row>
    <row r="40" spans="1:6">
      <c r="A40" s="1">
        <f>_xlfn.XLOOKUP(B40,'NOVACART DATA'!$D$2:$D$1000,'NOVACART DATA'!$C$2:$C$1000,"Not Found")</f>
        <v>47</v>
      </c>
      <c r="B40" s="1" t="str">
        <v>Owen Petrov</v>
      </c>
      <c r="C40" s="1" t="str">
        <f t="shared" si="0"/>
        <v>owen</v>
      </c>
      <c r="D40" s="1" t="str">
        <f t="shared" si="1"/>
        <v>petrov</v>
      </c>
      <c r="E40" s="1" t="str">
        <f t="shared" si="2"/>
        <v>owen.petrov@gmail.com</v>
      </c>
      <c r="F40" s="1" t="str">
        <f>_xlfn.XLOOKUP(A40,'NOVACART DATA'!C:C,'NOVACART DATA'!E:E,"Not Found")</f>
        <v>Champion</v>
      </c>
    </row>
    <row r="41" spans="1:6">
      <c r="A41" s="1">
        <f>_xlfn.XLOOKUP(B41,'NOVACART DATA'!$D$2:$D$1000,'NOVACART DATA'!$C$2:$C$1000,"Not Found")</f>
        <v>48</v>
      </c>
      <c r="B41" s="1" t="str">
        <v>Wren Costa</v>
      </c>
      <c r="C41" s="1" t="str">
        <f t="shared" si="0"/>
        <v>wren</v>
      </c>
      <c r="D41" s="1" t="str">
        <f t="shared" si="1"/>
        <v>costa</v>
      </c>
      <c r="E41" s="1" t="str">
        <f t="shared" si="2"/>
        <v>wren.costa@gmail.com</v>
      </c>
      <c r="F41" s="1" t="str">
        <f>_xlfn.XLOOKUP(A41,'NOVACART DATA'!C:C,'NOVACART DATA'!E:E,"Not Found")</f>
        <v>Regular</v>
      </c>
    </row>
    <row r="42" spans="1:6">
      <c r="A42" s="1">
        <f>_xlfn.XLOOKUP(B42,'NOVACART DATA'!$D$2:$D$1000,'NOVACART DATA'!$C$2:$C$1000,"Not Found")</f>
        <v>49</v>
      </c>
      <c r="B42" s="1" t="str">
        <v>Taylor Costa</v>
      </c>
      <c r="C42" s="1" t="str">
        <f t="shared" si="0"/>
        <v>taylor</v>
      </c>
      <c r="D42" s="1" t="str">
        <f t="shared" si="1"/>
        <v>costa</v>
      </c>
      <c r="E42" s="1" t="str">
        <f t="shared" si="2"/>
        <v>taylor.costa@gmail.com</v>
      </c>
      <c r="F42" s="1" t="str">
        <f>_xlfn.XLOOKUP(A42,'NOVACART DATA'!C:C,'NOVACART DATA'!E:E,"Not Found")</f>
        <v>New</v>
      </c>
    </row>
    <row r="43" spans="1:6">
      <c r="A43" s="1">
        <f>_xlfn.XLOOKUP(B43,'NOVACART DATA'!$D$2:$D$1000,'NOVACART DATA'!$C$2:$C$1000,"Not Found")</f>
        <v>50</v>
      </c>
      <c r="B43" s="1" t="str">
        <v>Riley Kowalski</v>
      </c>
      <c r="C43" s="1" t="str">
        <f t="shared" si="0"/>
        <v>riley</v>
      </c>
      <c r="D43" s="1" t="str">
        <f t="shared" si="1"/>
        <v>kowalski</v>
      </c>
      <c r="E43" s="1" t="str">
        <f t="shared" si="2"/>
        <v>riley.kowalski@gmail.com</v>
      </c>
      <c r="F43" s="1" t="str">
        <f>_xlfn.XLOOKUP(A43,'NOVACART DATA'!C:C,'NOVACART DATA'!E:E,"Not Found")</f>
        <v>Regular</v>
      </c>
    </row>
    <row r="44" spans="1:6">
      <c r="A44" s="1">
        <f>_xlfn.XLOOKUP(B44,'NOVACART DATA'!$D$2:$D$1000,'NOVACART DATA'!$C$2:$C$1000,"Not Found")</f>
        <v>51</v>
      </c>
      <c r="B44" s="1" t="str">
        <v>Harper Petrov</v>
      </c>
      <c r="C44" s="1" t="str">
        <f t="shared" si="0"/>
        <v>harper</v>
      </c>
      <c r="D44" s="1" t="str">
        <f t="shared" si="1"/>
        <v>petrov</v>
      </c>
      <c r="E44" s="1" t="str">
        <f t="shared" si="2"/>
        <v>harper.petrov@gmail.com</v>
      </c>
      <c r="F44" s="1" t="str">
        <f>_xlfn.XLOOKUP(A44,'NOVACART DATA'!C:C,'NOVACART DATA'!E:E,"Not Found")</f>
        <v>New</v>
      </c>
    </row>
    <row r="45" spans="1:6">
      <c r="A45" s="1">
        <f>_xlfn.XLOOKUP(B45,'NOVACART DATA'!$D$2:$D$1000,'NOVACART DATA'!$C$2:$C$1000,"Not Found")</f>
        <v>53</v>
      </c>
      <c r="B45" s="1" t="str">
        <v>Maya Reid</v>
      </c>
      <c r="C45" s="1" t="str">
        <f t="shared" si="0"/>
        <v>maya</v>
      </c>
      <c r="D45" s="1" t="str">
        <f t="shared" si="1"/>
        <v>reid</v>
      </c>
      <c r="E45" s="1" t="str">
        <f t="shared" si="2"/>
        <v>maya.reid@gmail.com</v>
      </c>
      <c r="F45" s="1" t="str">
        <f>_xlfn.XLOOKUP(A45,'NOVACART DATA'!C:C,'NOVACART DATA'!E:E,"Not Found")</f>
        <v>Loyal</v>
      </c>
    </row>
    <row r="46" spans="1:6">
      <c r="A46" s="1">
        <f>_xlfn.XLOOKUP(B46,'NOVACART DATA'!$D$2:$D$1000,'NOVACART DATA'!$C$2:$C$1000,"Not Found")</f>
        <v>54</v>
      </c>
      <c r="B46" s="1" t="str">
        <v>Sasha Nguyen</v>
      </c>
      <c r="C46" s="1" t="str">
        <f t="shared" si="0"/>
        <v>sasha</v>
      </c>
      <c r="D46" s="1" t="str">
        <f t="shared" si="1"/>
        <v>nguyen</v>
      </c>
      <c r="E46" s="1" t="str">
        <f t="shared" si="2"/>
        <v>sasha.nguyen@gmail.com</v>
      </c>
      <c r="F46" s="1" t="str">
        <f>_xlfn.XLOOKUP(A46,'NOVACART DATA'!C:C,'NOVACART DATA'!E:E,"Not Found")</f>
        <v>Regular</v>
      </c>
    </row>
    <row r="47" spans="1:6">
      <c r="A47" s="1">
        <f>_xlfn.XLOOKUP(B47,'NOVACART DATA'!$D$2:$D$1000,'NOVACART DATA'!$C$2:$C$1000,"Not Found")</f>
        <v>56</v>
      </c>
      <c r="B47" s="1" t="str">
        <v>Noel Osei</v>
      </c>
      <c r="C47" s="1" t="str">
        <f t="shared" si="0"/>
        <v>noel</v>
      </c>
      <c r="D47" s="1" t="str">
        <f t="shared" si="1"/>
        <v>osei</v>
      </c>
      <c r="E47" s="1" t="str">
        <f t="shared" si="2"/>
        <v>noel.osei@gmail.com</v>
      </c>
      <c r="F47" s="1" t="str">
        <f>_xlfn.XLOOKUP(A47,'NOVACART DATA'!C:C,'NOVACART DATA'!E:E,"Not Found")</f>
        <v>New</v>
      </c>
    </row>
    <row r="48" spans="1:6">
      <c r="A48" s="1">
        <f>_xlfn.XLOOKUP(B48,'NOVACART DATA'!$D$2:$D$1000,'NOVACART DATA'!$C$2:$C$1000,"Not Found")</f>
        <v>57</v>
      </c>
      <c r="B48" s="1" t="str">
        <v>Nora Yamada</v>
      </c>
      <c r="C48" s="1" t="str">
        <f t="shared" si="0"/>
        <v>nora</v>
      </c>
      <c r="D48" s="1" t="str">
        <f t="shared" si="1"/>
        <v>yamada</v>
      </c>
      <c r="E48" s="1" t="str">
        <f t="shared" si="2"/>
        <v>nora.yamada@gmail.com</v>
      </c>
      <c r="F48" s="1" t="str">
        <f>_xlfn.XLOOKUP(A48,'NOVACART DATA'!C:C,'NOVACART DATA'!E:E,"Not Found")</f>
        <v>At-Risk</v>
      </c>
    </row>
    <row r="49" spans="1:6">
      <c r="A49" s="1">
        <f>_xlfn.XLOOKUP(B49,'NOVACART DATA'!$D$2:$D$1000,'NOVACART DATA'!$C$2:$C$1000,"Not Found")</f>
        <v>58</v>
      </c>
      <c r="B49" s="1" t="str">
        <v>Harper Diaz</v>
      </c>
      <c r="C49" s="1" t="str">
        <f t="shared" si="0"/>
        <v>harper</v>
      </c>
      <c r="D49" s="1" t="str">
        <f t="shared" si="1"/>
        <v>diaz</v>
      </c>
      <c r="E49" s="1" t="str">
        <f t="shared" si="2"/>
        <v>harper.diaz@gmail.com</v>
      </c>
      <c r="F49" s="1" t="str">
        <f>_xlfn.XLOOKUP(A49,'NOVACART DATA'!C:C,'NOVACART DATA'!E:E,"Not Found")</f>
        <v>At-Risk</v>
      </c>
    </row>
    <row r="50" spans="1:6">
      <c r="A50" s="1">
        <f>_xlfn.XLOOKUP(B50,'NOVACART DATA'!$D$2:$D$1000,'NOVACART DATA'!$C$2:$C$1000,"Not Found")</f>
        <v>59</v>
      </c>
      <c r="B50" s="1" t="str">
        <v>Quinn Petrov</v>
      </c>
      <c r="C50" s="1" t="str">
        <f t="shared" si="0"/>
        <v>quinn</v>
      </c>
      <c r="D50" s="1" t="str">
        <f t="shared" si="1"/>
        <v>petrov</v>
      </c>
      <c r="E50" s="1" t="str">
        <f t="shared" si="2"/>
        <v>quinn.petrov@gmail.com</v>
      </c>
      <c r="F50" s="1" t="str">
        <f>_xlfn.XLOOKUP(A50,'NOVACART DATA'!C:C,'NOVACART DATA'!E:E,"Not Found")</f>
        <v>Loyal</v>
      </c>
    </row>
    <row r="51" spans="1:6">
      <c r="A51" s="1">
        <f>_xlfn.XLOOKUP(B51,'NOVACART DATA'!$D$2:$D$1000,'NOVACART DATA'!$C$2:$C$1000,"Not Found")</f>
        <v>60</v>
      </c>
      <c r="B51" s="1" t="str">
        <v>Rowan Sullivan</v>
      </c>
      <c r="C51" s="1" t="str">
        <f t="shared" si="0"/>
        <v>rowan</v>
      </c>
      <c r="D51" s="1" t="str">
        <f t="shared" si="1"/>
        <v>sullivan</v>
      </c>
      <c r="E51" s="1" t="str">
        <f t="shared" si="2"/>
        <v>rowan.sullivan@gmail.com</v>
      </c>
      <c r="F51" s="1" t="str">
        <f>_xlfn.XLOOKUP(A51,'NOVACART DATA'!C:C,'NOVACART DATA'!E:E,"Not Found")</f>
        <v>Loyal</v>
      </c>
    </row>
    <row r="52" spans="1:6">
      <c r="A52" s="1">
        <f>_xlfn.XLOOKUP(B52,'NOVACART DATA'!$D$2:$D$1000,'NOVACART DATA'!$C$2:$C$1000,"Not Found")</f>
        <v>61</v>
      </c>
      <c r="B52" s="1" t="str">
        <v>Noel Petrov</v>
      </c>
      <c r="C52" s="1" t="str">
        <f t="shared" si="0"/>
        <v>noel</v>
      </c>
      <c r="D52" s="1" t="str">
        <f t="shared" si="1"/>
        <v>petrov</v>
      </c>
      <c r="E52" s="1" t="str">
        <f t="shared" si="2"/>
        <v>noel.petrov@gmail.com</v>
      </c>
      <c r="F52" s="1" t="str">
        <f>_xlfn.XLOOKUP(A52,'NOVACART DATA'!C:C,'NOVACART DATA'!E:E,"Not Found")</f>
        <v>At-Risk</v>
      </c>
    </row>
    <row r="53" spans="1:6">
      <c r="A53" s="1">
        <f>_xlfn.XLOOKUP(B53,'NOVACART DATA'!$D$2:$D$1000,'NOVACART DATA'!$C$2:$C$1000,"Not Found")</f>
        <v>62</v>
      </c>
      <c r="B53" s="1" t="str">
        <v>Nora Reyes</v>
      </c>
      <c r="C53" s="1" t="str">
        <f t="shared" si="0"/>
        <v>nora</v>
      </c>
      <c r="D53" s="1" t="str">
        <f t="shared" si="1"/>
        <v>reyes</v>
      </c>
      <c r="E53" s="1" t="str">
        <f t="shared" si="2"/>
        <v>nora.reyes@gmail.com</v>
      </c>
      <c r="F53" s="1" t="str">
        <f>_xlfn.XLOOKUP(A53,'NOVACART DATA'!C:C,'NOVACART DATA'!E:E,"Not Found")</f>
        <v>At-Risk</v>
      </c>
    </row>
    <row r="54" spans="1:6">
      <c r="A54" s="1">
        <f>_xlfn.XLOOKUP(B54,'NOVACART DATA'!$D$2:$D$1000,'NOVACART DATA'!$C$2:$C$1000,"Not Found")</f>
        <v>63</v>
      </c>
      <c r="B54" s="1" t="str">
        <v>Ezra Petrov</v>
      </c>
      <c r="C54" s="1" t="str">
        <f t="shared" si="0"/>
        <v>ezra</v>
      </c>
      <c r="D54" s="1" t="str">
        <f t="shared" si="1"/>
        <v>petrov</v>
      </c>
      <c r="E54" s="1" t="str">
        <f t="shared" si="2"/>
        <v>ezra.petrov@gmail.com</v>
      </c>
      <c r="F54" s="1" t="str">
        <f>_xlfn.XLOOKUP(A54,'NOVACART DATA'!C:C,'NOVACART DATA'!E:E,"Not Found")</f>
        <v>Regular</v>
      </c>
    </row>
    <row r="55" spans="1:6">
      <c r="A55" s="1">
        <f>_xlfn.XLOOKUP(B55,'NOVACART DATA'!$D$2:$D$1000,'NOVACART DATA'!$C$2:$C$1000,"Not Found")</f>
        <v>64</v>
      </c>
      <c r="B55" s="1" t="str">
        <v>Kai Larsen</v>
      </c>
      <c r="C55" s="1" t="str">
        <f t="shared" si="0"/>
        <v>kai</v>
      </c>
      <c r="D55" s="1" t="str">
        <f t="shared" si="1"/>
        <v>larsen</v>
      </c>
      <c r="E55" s="1" t="str">
        <f t="shared" si="2"/>
        <v>kai.larsen@gmail.com</v>
      </c>
      <c r="F55" s="1" t="str">
        <f>_xlfn.XLOOKUP(A55,'NOVACART DATA'!C:C,'NOVACART DATA'!E:E,"Not Found")</f>
        <v>At-Risk</v>
      </c>
    </row>
    <row r="56" spans="1:6">
      <c r="A56" s="1">
        <f>_xlfn.XLOOKUP(B56,'NOVACART DATA'!$D$2:$D$1000,'NOVACART DATA'!$C$2:$C$1000,"Not Found")</f>
        <v>65</v>
      </c>
      <c r="B56" s="1" t="str">
        <v>Taylor Walsh</v>
      </c>
      <c r="C56" s="1" t="str">
        <f t="shared" si="0"/>
        <v>taylor</v>
      </c>
      <c r="D56" s="1" t="str">
        <f t="shared" si="1"/>
        <v>walsh</v>
      </c>
      <c r="E56" s="1" t="str">
        <f t="shared" si="2"/>
        <v>taylor.walsh@gmail.com</v>
      </c>
      <c r="F56" s="1" t="str">
        <f>_xlfn.XLOOKUP(A56,'NOVACART DATA'!C:C,'NOVACART DATA'!E:E,"Not Found")</f>
        <v>At-Risk</v>
      </c>
    </row>
    <row r="57" spans="1:6">
      <c r="A57" s="1">
        <f>_xlfn.XLOOKUP(B57,'NOVACART DATA'!$D$2:$D$1000,'NOVACART DATA'!$C$2:$C$1000,"Not Found")</f>
        <v>66</v>
      </c>
      <c r="B57" s="1" t="str">
        <v>Taylor Ibarra</v>
      </c>
      <c r="C57" s="1" t="str">
        <f t="shared" si="0"/>
        <v>taylor</v>
      </c>
      <c r="D57" s="1" t="str">
        <f t="shared" si="1"/>
        <v>ibarra</v>
      </c>
      <c r="E57" s="1" t="str">
        <f t="shared" si="2"/>
        <v>taylor.ibarra@gmail.com</v>
      </c>
      <c r="F57" s="1" t="str">
        <f>_xlfn.XLOOKUP(A57,'NOVACART DATA'!C:C,'NOVACART DATA'!E:E,"Not Found")</f>
        <v>At-Risk</v>
      </c>
    </row>
    <row r="58" spans="1:6">
      <c r="A58" s="1">
        <f>_xlfn.XLOOKUP(B58,'NOVACART DATA'!$D$2:$D$1000,'NOVACART DATA'!$C$2:$C$1000,"Not Found")</f>
        <v>67</v>
      </c>
      <c r="B58" s="1" t="str">
        <v>Noel Costa</v>
      </c>
      <c r="C58" s="1" t="str">
        <f t="shared" si="0"/>
        <v>noel</v>
      </c>
      <c r="D58" s="1" t="str">
        <f t="shared" si="1"/>
        <v>costa</v>
      </c>
      <c r="E58" s="1" t="str">
        <f t="shared" si="2"/>
        <v>noel.costa@gmail.com</v>
      </c>
      <c r="F58" s="1" t="str">
        <f>_xlfn.XLOOKUP(A58,'NOVACART DATA'!C:C,'NOVACART DATA'!E:E,"Not Found")</f>
        <v>Loyal</v>
      </c>
    </row>
    <row r="59" spans="1:6">
      <c r="A59" s="1">
        <f>_xlfn.XLOOKUP(B59,'NOVACART DATA'!$D$2:$D$1000,'NOVACART DATA'!$C$2:$C$1000,"Not Found")</f>
        <v>68</v>
      </c>
      <c r="B59" s="1" t="str">
        <v>Casey Fischer</v>
      </c>
      <c r="C59" s="1" t="str">
        <f t="shared" si="0"/>
        <v>casey</v>
      </c>
      <c r="D59" s="1" t="str">
        <f t="shared" si="1"/>
        <v>fischer</v>
      </c>
      <c r="E59" s="1" t="str">
        <f t="shared" si="2"/>
        <v>casey.fischer@gmail.com</v>
      </c>
      <c r="F59" s="1" t="str">
        <f>_xlfn.XLOOKUP(A59,'NOVACART DATA'!C:C,'NOVACART DATA'!E:E,"Not Found")</f>
        <v>Loyal</v>
      </c>
    </row>
    <row r="60" spans="1:6">
      <c r="A60" s="1">
        <f>_xlfn.XLOOKUP(B60,'NOVACART DATA'!$D$2:$D$1000,'NOVACART DATA'!$C$2:$C$1000,"Not Found")</f>
        <v>69</v>
      </c>
      <c r="B60" s="1" t="str">
        <v>Tessa Yamada</v>
      </c>
      <c r="C60" s="1" t="str">
        <f t="shared" si="0"/>
        <v>tessa</v>
      </c>
      <c r="D60" s="1" t="str">
        <f t="shared" si="1"/>
        <v>yamada</v>
      </c>
      <c r="E60" s="1" t="str">
        <f t="shared" si="2"/>
        <v>tessa.yamada@gmail.com</v>
      </c>
      <c r="F60" s="1" t="str">
        <f>_xlfn.XLOOKUP(A60,'NOVACART DATA'!C:C,'NOVACART DATA'!E:E,"Not Found")</f>
        <v>New</v>
      </c>
    </row>
    <row r="61" spans="1:6">
      <c r="A61" s="1">
        <f>_xlfn.XLOOKUP(B61,'NOVACART DATA'!$D$2:$D$1000,'NOVACART DATA'!$C$2:$C$1000,"Not Found")</f>
        <v>70</v>
      </c>
      <c r="B61" s="1" t="str">
        <v>Lila Reyes</v>
      </c>
      <c r="C61" s="1" t="str">
        <f t="shared" si="0"/>
        <v>lila</v>
      </c>
      <c r="D61" s="1" t="str">
        <f t="shared" si="1"/>
        <v>reyes</v>
      </c>
      <c r="E61" s="1" t="str">
        <f t="shared" si="2"/>
        <v>lila.reyes@gmail.com</v>
      </c>
      <c r="F61" s="1" t="str">
        <f>_xlfn.XLOOKUP(A61,'NOVACART DATA'!C:C,'NOVACART DATA'!E:E,"Not Found")</f>
        <v>Regular</v>
      </c>
    </row>
    <row r="62" spans="1:6">
      <c r="A62" s="1">
        <f>_xlfn.XLOOKUP(B62,'NOVACART DATA'!$D$2:$D$1000,'NOVACART DATA'!$C$2:$C$1000,"Not Found")</f>
        <v>71</v>
      </c>
      <c r="B62" s="1" t="str">
        <v>Casey Novak</v>
      </c>
      <c r="C62" s="1" t="str">
        <f t="shared" si="0"/>
        <v>casey</v>
      </c>
      <c r="D62" s="1" t="str">
        <f t="shared" si="1"/>
        <v>novak</v>
      </c>
      <c r="E62" s="1" t="str">
        <f t="shared" si="2"/>
        <v>casey.novak@gmail.com</v>
      </c>
      <c r="F62" s="1" t="str">
        <f>_xlfn.XLOOKUP(A62,'NOVACART DATA'!C:C,'NOVACART DATA'!E:E,"Not Found")</f>
        <v>At-Risk</v>
      </c>
    </row>
    <row r="63" spans="1:6">
      <c r="A63" s="1">
        <f>_xlfn.XLOOKUP(B63,'NOVACART DATA'!$D$2:$D$1000,'NOVACART DATA'!$C$2:$C$1000,"Not Found")</f>
        <v>72</v>
      </c>
      <c r="B63" s="1" t="str">
        <v>Drew Fischer</v>
      </c>
      <c r="C63" s="1" t="str">
        <f t="shared" si="0"/>
        <v>drew</v>
      </c>
      <c r="D63" s="1" t="str">
        <f t="shared" si="1"/>
        <v>fischer</v>
      </c>
      <c r="E63" s="1" t="str">
        <f t="shared" si="2"/>
        <v>drew.fischer@gmail.com</v>
      </c>
      <c r="F63" s="1" t="str">
        <f>_xlfn.XLOOKUP(A63,'NOVACART DATA'!C:C,'NOVACART DATA'!E:E,"Not Found")</f>
        <v>New</v>
      </c>
    </row>
    <row r="64" spans="1:6">
      <c r="A64" s="1">
        <f>_xlfn.XLOOKUP(B64,'NOVACART DATA'!$D$2:$D$1000,'NOVACART DATA'!$C$2:$C$1000,"Not Found")</f>
        <v>73</v>
      </c>
      <c r="B64" s="1" t="str">
        <v>Jordan Novak</v>
      </c>
      <c r="C64" s="1" t="str">
        <f t="shared" si="0"/>
        <v>jordan</v>
      </c>
      <c r="D64" s="1" t="str">
        <f t="shared" si="1"/>
        <v>novak</v>
      </c>
      <c r="E64" s="1" t="str">
        <f t="shared" si="2"/>
        <v>jordan.novak@gmail.com</v>
      </c>
      <c r="F64" s="1" t="str">
        <f>_xlfn.XLOOKUP(A64,'NOVACART DATA'!C:C,'NOVACART DATA'!E:E,"Not Found")</f>
        <v>At-Risk</v>
      </c>
    </row>
    <row r="65" spans="1:6">
      <c r="A65" s="1">
        <f>_xlfn.XLOOKUP(B65,'NOVACART DATA'!$D$2:$D$1000,'NOVACART DATA'!$C$2:$C$1000,"Not Found")</f>
        <v>74</v>
      </c>
      <c r="B65" s="1" t="str">
        <v>Taylor Okafor</v>
      </c>
      <c r="C65" s="1" t="str">
        <f t="shared" si="0"/>
        <v>taylor</v>
      </c>
      <c r="D65" s="1" t="str">
        <f t="shared" si="1"/>
        <v>okafor</v>
      </c>
      <c r="E65" s="1" t="str">
        <f t="shared" si="2"/>
        <v>taylor.okafor@gmail.com</v>
      </c>
      <c r="F65" s="1" t="str">
        <f>_xlfn.XLOOKUP(A65,'NOVACART DATA'!C:C,'NOVACART DATA'!E:E,"Not Found")</f>
        <v>At-Risk</v>
      </c>
    </row>
    <row r="66" spans="1:6">
      <c r="A66" s="1">
        <f>_xlfn.XLOOKUP(B66,'NOVACART DATA'!$D$2:$D$1000,'NOVACART DATA'!$C$2:$C$1000,"Not Found")</f>
        <v>75</v>
      </c>
      <c r="B66" s="1" t="str">
        <v>Drew Costa</v>
      </c>
      <c r="C66" s="1" t="str">
        <f t="shared" si="0"/>
        <v>drew</v>
      </c>
      <c r="D66" s="1" t="str">
        <f t="shared" si="1"/>
        <v>costa</v>
      </c>
      <c r="E66" s="1" t="str">
        <f t="shared" si="2"/>
        <v>drew.costa@gmail.com</v>
      </c>
      <c r="F66" s="1" t="str">
        <f>_xlfn.XLOOKUP(A66,'NOVACART DATA'!C:C,'NOVACART DATA'!E:E,"Not Found")</f>
        <v>Loyal</v>
      </c>
    </row>
    <row r="67" spans="1:6">
      <c r="A67" s="1">
        <f>_xlfn.XLOOKUP(B67,'NOVACART DATA'!$D$2:$D$1000,'NOVACART DATA'!$C$2:$C$1000,"Not Found")</f>
        <v>76</v>
      </c>
      <c r="B67" s="1" t="str">
        <v>Harper Tan</v>
      </c>
      <c r="C67" s="1" t="str">
        <f t="shared" ref="C67:C110" si="3">LOWER(_xlfn.TEXTBEFORE(B67," "))</f>
        <v>harper</v>
      </c>
      <c r="D67" s="1" t="str">
        <f t="shared" ref="D67:D110" si="4">LOWER(_xlfn.TEXTAFTER(B67," "))</f>
        <v>tan</v>
      </c>
      <c r="E67" s="1" t="str">
        <f t="shared" ref="E67:E110" si="5">CONCATENATE(C67,".",D67,"@gmail.com")</f>
        <v>harper.tan@gmail.com</v>
      </c>
      <c r="F67" s="1" t="str">
        <f>_xlfn.XLOOKUP(A67,'NOVACART DATA'!C:C,'NOVACART DATA'!E:E,"Not Found")</f>
        <v>Regular</v>
      </c>
    </row>
    <row r="68" spans="1:6">
      <c r="A68" s="1">
        <f>_xlfn.XLOOKUP(B68,'NOVACART DATA'!$D$2:$D$1000,'NOVACART DATA'!$C$2:$C$1000,"Not Found")</f>
        <v>77</v>
      </c>
      <c r="B68" s="1" t="str">
        <v>Ezra Diaz</v>
      </c>
      <c r="C68" s="1" t="str">
        <f t="shared" si="3"/>
        <v>ezra</v>
      </c>
      <c r="D68" s="1" t="str">
        <f t="shared" si="4"/>
        <v>diaz</v>
      </c>
      <c r="E68" s="1" t="str">
        <f t="shared" si="5"/>
        <v>ezra.diaz@gmail.com</v>
      </c>
      <c r="F68" s="1" t="str">
        <f>_xlfn.XLOOKUP(A68,'NOVACART DATA'!C:C,'NOVACART DATA'!E:E,"Not Found")</f>
        <v>Loyal</v>
      </c>
    </row>
    <row r="69" spans="1:6">
      <c r="A69" s="1">
        <f>_xlfn.XLOOKUP(B69,'NOVACART DATA'!$D$2:$D$1000,'NOVACART DATA'!$C$2:$C$1000,"Not Found")</f>
        <v>78</v>
      </c>
      <c r="B69" s="1" t="str">
        <v>Ezra Sullivan</v>
      </c>
      <c r="C69" s="1" t="str">
        <f t="shared" si="3"/>
        <v>ezra</v>
      </c>
      <c r="D69" s="1" t="str">
        <f t="shared" si="4"/>
        <v>sullivan</v>
      </c>
      <c r="E69" s="1" t="str">
        <f t="shared" si="5"/>
        <v>ezra.sullivan@gmail.com</v>
      </c>
      <c r="F69" s="1" t="str">
        <f>_xlfn.XLOOKUP(A69,'NOVACART DATA'!C:C,'NOVACART DATA'!E:E,"Not Found")</f>
        <v>Regular</v>
      </c>
    </row>
    <row r="70" spans="1:6">
      <c r="A70" s="1">
        <f>_xlfn.XLOOKUP(B70,'NOVACART DATA'!$D$2:$D$1000,'NOVACART DATA'!$C$2:$C$1000,"Not Found")</f>
        <v>79</v>
      </c>
      <c r="B70" s="1" t="str">
        <v>Iris Cohen</v>
      </c>
      <c r="C70" s="1" t="str">
        <f t="shared" si="3"/>
        <v>iris</v>
      </c>
      <c r="D70" s="1" t="str">
        <f t="shared" si="4"/>
        <v>cohen</v>
      </c>
      <c r="E70" s="1" t="str">
        <f t="shared" si="5"/>
        <v>iris.cohen@gmail.com</v>
      </c>
      <c r="F70" s="1" t="str">
        <f>_xlfn.XLOOKUP(A70,'NOVACART DATA'!C:C,'NOVACART DATA'!E:E,"Not Found")</f>
        <v>Regular</v>
      </c>
    </row>
    <row r="71" spans="1:6">
      <c r="A71" s="1">
        <f>_xlfn.XLOOKUP(B71,'NOVACART DATA'!$D$2:$D$1000,'NOVACART DATA'!$C$2:$C$1000,"Not Found")</f>
        <v>80</v>
      </c>
      <c r="B71" s="1" t="str">
        <v>Leo Patel</v>
      </c>
      <c r="C71" s="1" t="str">
        <f t="shared" si="3"/>
        <v>leo</v>
      </c>
      <c r="D71" s="1" t="str">
        <f t="shared" si="4"/>
        <v>patel</v>
      </c>
      <c r="E71" s="1" t="str">
        <f t="shared" si="5"/>
        <v>leo.patel@gmail.com</v>
      </c>
      <c r="F71" s="1" t="str">
        <f>_xlfn.XLOOKUP(A71,'NOVACART DATA'!C:C,'NOVACART DATA'!E:E,"Not Found")</f>
        <v>Champion</v>
      </c>
    </row>
    <row r="72" spans="1:6">
      <c r="A72" s="1">
        <f>_xlfn.XLOOKUP(B72,'NOVACART DATA'!$D$2:$D$1000,'NOVACART DATA'!$C$2:$C$1000,"Not Found")</f>
        <v>81</v>
      </c>
      <c r="B72" s="1" t="str">
        <v>Ivy Kowalski</v>
      </c>
      <c r="C72" s="1" t="str">
        <f t="shared" si="3"/>
        <v>ivy</v>
      </c>
      <c r="D72" s="1" t="str">
        <f t="shared" si="4"/>
        <v>kowalski</v>
      </c>
      <c r="E72" s="1" t="str">
        <f t="shared" si="5"/>
        <v>ivy.kowalski@gmail.com</v>
      </c>
      <c r="F72" s="1" t="str">
        <f>_xlfn.XLOOKUP(A72,'NOVACART DATA'!C:C,'NOVACART DATA'!E:E,"Not Found")</f>
        <v>Regular</v>
      </c>
    </row>
    <row r="73" spans="1:6">
      <c r="A73" s="1">
        <f>_xlfn.XLOOKUP(B73,'NOVACART DATA'!$D$2:$D$1000,'NOVACART DATA'!$C$2:$C$1000,"Not Found")</f>
        <v>83</v>
      </c>
      <c r="B73" s="1" t="str">
        <v>Drew Larsen</v>
      </c>
      <c r="C73" s="1" t="str">
        <f t="shared" si="3"/>
        <v>drew</v>
      </c>
      <c r="D73" s="1" t="str">
        <f t="shared" si="4"/>
        <v>larsen</v>
      </c>
      <c r="E73" s="1" t="str">
        <f t="shared" si="5"/>
        <v>drew.larsen@gmail.com</v>
      </c>
      <c r="F73" s="1" t="str">
        <f>_xlfn.XLOOKUP(A73,'NOVACART DATA'!C:C,'NOVACART DATA'!E:E,"Not Found")</f>
        <v>New</v>
      </c>
    </row>
    <row r="74" spans="1:6">
      <c r="A74" s="1">
        <f>_xlfn.XLOOKUP(B74,'NOVACART DATA'!$D$2:$D$1000,'NOVACART DATA'!$C$2:$C$1000,"Not Found")</f>
        <v>84</v>
      </c>
      <c r="B74" s="1" t="str">
        <v>Lila Patel</v>
      </c>
      <c r="C74" s="1" t="str">
        <f t="shared" si="3"/>
        <v>lila</v>
      </c>
      <c r="D74" s="1" t="str">
        <f t="shared" si="4"/>
        <v>patel</v>
      </c>
      <c r="E74" s="1" t="str">
        <f t="shared" si="5"/>
        <v>lila.patel@gmail.com</v>
      </c>
      <c r="F74" s="1" t="str">
        <f>_xlfn.XLOOKUP(A74,'NOVACART DATA'!C:C,'NOVACART DATA'!E:E,"Not Found")</f>
        <v>Regular</v>
      </c>
    </row>
    <row r="75" spans="1:6">
      <c r="A75" s="1">
        <f>_xlfn.XLOOKUP(B75,'NOVACART DATA'!$D$2:$D$1000,'NOVACART DATA'!$C$2:$C$1000,"Not Found")</f>
        <v>85</v>
      </c>
      <c r="B75" s="1" t="str">
        <v>Sasha Petrov</v>
      </c>
      <c r="C75" s="1" t="str">
        <f t="shared" si="3"/>
        <v>sasha</v>
      </c>
      <c r="D75" s="1" t="str">
        <f t="shared" si="4"/>
        <v>petrov</v>
      </c>
      <c r="E75" s="1" t="str">
        <f t="shared" si="5"/>
        <v>sasha.petrov@gmail.com</v>
      </c>
      <c r="F75" s="1" t="str">
        <f>_xlfn.XLOOKUP(A75,'NOVACART DATA'!C:C,'NOVACART DATA'!E:E,"Not Found")</f>
        <v>New</v>
      </c>
    </row>
    <row r="76" spans="1:6">
      <c r="A76" s="1">
        <f>_xlfn.XLOOKUP(B76,'NOVACART DATA'!$D$2:$D$1000,'NOVACART DATA'!$C$2:$C$1000,"Not Found")</f>
        <v>86</v>
      </c>
      <c r="B76" s="1" t="str">
        <v>Ivy Ahmed</v>
      </c>
      <c r="C76" s="1" t="str">
        <f t="shared" si="3"/>
        <v>ivy</v>
      </c>
      <c r="D76" s="1" t="str">
        <f t="shared" si="4"/>
        <v>ahmed</v>
      </c>
      <c r="E76" s="1" t="str">
        <f t="shared" si="5"/>
        <v>ivy.ahmed@gmail.com</v>
      </c>
      <c r="F76" s="1" t="str">
        <f>_xlfn.XLOOKUP(A76,'NOVACART DATA'!C:C,'NOVACART DATA'!E:E,"Not Found")</f>
        <v>At-Risk</v>
      </c>
    </row>
    <row r="77" spans="1:6">
      <c r="A77" s="1">
        <f>_xlfn.XLOOKUP(B77,'NOVACART DATA'!$D$2:$D$1000,'NOVACART DATA'!$C$2:$C$1000,"Not Found")</f>
        <v>87</v>
      </c>
      <c r="B77" s="1" t="str">
        <v>Ivy Sullivan</v>
      </c>
      <c r="C77" s="1" t="str">
        <f t="shared" si="3"/>
        <v>ivy</v>
      </c>
      <c r="D77" s="1" t="str">
        <f t="shared" si="4"/>
        <v>sullivan</v>
      </c>
      <c r="E77" s="1" t="str">
        <f t="shared" si="5"/>
        <v>ivy.sullivan@gmail.com</v>
      </c>
      <c r="F77" s="1" t="str">
        <f>_xlfn.XLOOKUP(A77,'NOVACART DATA'!C:C,'NOVACART DATA'!E:E,"Not Found")</f>
        <v>At-Risk</v>
      </c>
    </row>
    <row r="78" spans="1:6">
      <c r="A78" s="1">
        <f>_xlfn.XLOOKUP(B78,'NOVACART DATA'!$D$2:$D$1000,'NOVACART DATA'!$C$2:$C$1000,"Not Found")</f>
        <v>88</v>
      </c>
      <c r="B78" s="1" t="str">
        <v>Iris Okafor</v>
      </c>
      <c r="C78" s="1" t="str">
        <f t="shared" si="3"/>
        <v>iris</v>
      </c>
      <c r="D78" s="1" t="str">
        <f t="shared" si="4"/>
        <v>okafor</v>
      </c>
      <c r="E78" s="1" t="str">
        <f t="shared" si="5"/>
        <v>iris.okafor@gmail.com</v>
      </c>
      <c r="F78" s="1" t="str">
        <f>_xlfn.XLOOKUP(A78,'NOVACART DATA'!C:C,'NOVACART DATA'!E:E,"Not Found")</f>
        <v>Regular</v>
      </c>
    </row>
    <row r="79" spans="1:6">
      <c r="A79" s="1">
        <f>_xlfn.XLOOKUP(B79,'NOVACART DATA'!$D$2:$D$1000,'NOVACART DATA'!$C$2:$C$1000,"Not Found")</f>
        <v>89</v>
      </c>
      <c r="B79" s="1" t="str">
        <v>Kai Yamada</v>
      </c>
      <c r="C79" s="1" t="str">
        <f t="shared" si="3"/>
        <v>kai</v>
      </c>
      <c r="D79" s="1" t="str">
        <f t="shared" si="4"/>
        <v>yamada</v>
      </c>
      <c r="E79" s="1" t="str">
        <f t="shared" si="5"/>
        <v>kai.yamada@gmail.com</v>
      </c>
      <c r="F79" s="1" t="str">
        <f>_xlfn.XLOOKUP(A79,'NOVACART DATA'!C:C,'NOVACART DATA'!E:E,"Not Found")</f>
        <v>Regular</v>
      </c>
    </row>
    <row r="80" spans="1:6">
      <c r="A80" s="1">
        <f>_xlfn.XLOOKUP(B80,'NOVACART DATA'!$D$2:$D$1000,'NOVACART DATA'!$C$2:$C$1000,"Not Found")</f>
        <v>90</v>
      </c>
      <c r="B80" s="1" t="str">
        <v>Mateo Khan</v>
      </c>
      <c r="C80" s="1" t="str">
        <f t="shared" si="3"/>
        <v>mateo</v>
      </c>
      <c r="D80" s="1" t="str">
        <f t="shared" si="4"/>
        <v>khan</v>
      </c>
      <c r="E80" s="1" t="str">
        <f t="shared" si="5"/>
        <v>mateo.khan@gmail.com</v>
      </c>
      <c r="F80" s="1" t="str">
        <f>_xlfn.XLOOKUP(A80,'NOVACART DATA'!C:C,'NOVACART DATA'!E:E,"Not Found")</f>
        <v>New</v>
      </c>
    </row>
    <row r="81" spans="1:6">
      <c r="A81" s="1">
        <f>_xlfn.XLOOKUP(B81,'NOVACART DATA'!$D$2:$D$1000,'NOVACART DATA'!$C$2:$C$1000,"Not Found")</f>
        <v>91</v>
      </c>
      <c r="B81" s="1" t="str">
        <v>Tessa Mendez</v>
      </c>
      <c r="C81" s="1" t="str">
        <f t="shared" si="3"/>
        <v>tessa</v>
      </c>
      <c r="D81" s="1" t="str">
        <f t="shared" si="4"/>
        <v>mendez</v>
      </c>
      <c r="E81" s="1" t="str">
        <f t="shared" si="5"/>
        <v>tessa.mendez@gmail.com</v>
      </c>
      <c r="F81" s="1" t="str">
        <f>_xlfn.XLOOKUP(A81,'NOVACART DATA'!C:C,'NOVACART DATA'!E:E,"Not Found")</f>
        <v>At-Risk</v>
      </c>
    </row>
    <row r="82" spans="1:6">
      <c r="A82" s="1">
        <f>_xlfn.XLOOKUP(B82,'NOVACART DATA'!$D$2:$D$1000,'NOVACART DATA'!$C$2:$C$1000,"Not Found")</f>
        <v>92</v>
      </c>
      <c r="B82" s="1" t="str">
        <v>Ivy Flynn</v>
      </c>
      <c r="C82" s="1" t="str">
        <f t="shared" si="3"/>
        <v>ivy</v>
      </c>
      <c r="D82" s="1" t="str">
        <f t="shared" si="4"/>
        <v>flynn</v>
      </c>
      <c r="E82" s="1" t="str">
        <f t="shared" si="5"/>
        <v>ivy.flynn@gmail.com</v>
      </c>
      <c r="F82" s="1" t="str">
        <f>_xlfn.XLOOKUP(A82,'NOVACART DATA'!C:C,'NOVACART DATA'!E:E,"Not Found")</f>
        <v>At-Risk</v>
      </c>
    </row>
    <row r="83" spans="1:6">
      <c r="A83" s="1">
        <f>_xlfn.XLOOKUP(B83,'NOVACART DATA'!$D$2:$D$1000,'NOVACART DATA'!$C$2:$C$1000,"Not Found")</f>
        <v>93</v>
      </c>
      <c r="B83" s="1" t="str">
        <v>Quinn Walsh</v>
      </c>
      <c r="C83" s="1" t="str">
        <f t="shared" si="3"/>
        <v>quinn</v>
      </c>
      <c r="D83" s="1" t="str">
        <f t="shared" si="4"/>
        <v>walsh</v>
      </c>
      <c r="E83" s="1" t="str">
        <f t="shared" si="5"/>
        <v>quinn.walsh@gmail.com</v>
      </c>
      <c r="F83" s="1" t="str">
        <f>_xlfn.XLOOKUP(A83,'NOVACART DATA'!C:C,'NOVACART DATA'!E:E,"Not Found")</f>
        <v>Regular</v>
      </c>
    </row>
    <row r="84" spans="1:6">
      <c r="A84" s="1">
        <f>_xlfn.XLOOKUP(B84,'NOVACART DATA'!$D$2:$D$1000,'NOVACART DATA'!$C$2:$C$1000,"Not Found")</f>
        <v>94</v>
      </c>
      <c r="B84" s="1" t="str">
        <v>Wren Tan</v>
      </c>
      <c r="C84" s="1" t="str">
        <f t="shared" si="3"/>
        <v>wren</v>
      </c>
      <c r="D84" s="1" t="str">
        <f t="shared" si="4"/>
        <v>tan</v>
      </c>
      <c r="E84" s="1" t="str">
        <f t="shared" si="5"/>
        <v>wren.tan@gmail.com</v>
      </c>
      <c r="F84" s="1" t="str">
        <f>_xlfn.XLOOKUP(A84,'NOVACART DATA'!C:C,'NOVACART DATA'!E:E,"Not Found")</f>
        <v>Regular</v>
      </c>
    </row>
    <row r="85" spans="1:6">
      <c r="A85" s="1">
        <f>_xlfn.XLOOKUP(B85,'NOVACART DATA'!$D$2:$D$1000,'NOVACART DATA'!$C$2:$C$1000,"Not Found")</f>
        <v>96</v>
      </c>
      <c r="B85" s="1" t="str">
        <v>Jordan Brooks</v>
      </c>
      <c r="C85" s="1" t="str">
        <f t="shared" si="3"/>
        <v>jordan</v>
      </c>
      <c r="D85" s="1" t="str">
        <f t="shared" si="4"/>
        <v>brooks</v>
      </c>
      <c r="E85" s="1" t="str">
        <f t="shared" si="5"/>
        <v>jordan.brooks@gmail.com</v>
      </c>
      <c r="F85" s="1" t="str">
        <f>_xlfn.XLOOKUP(A85,'NOVACART DATA'!C:C,'NOVACART DATA'!E:E,"Not Found")</f>
        <v>New</v>
      </c>
    </row>
    <row r="86" spans="1:6">
      <c r="A86" s="1">
        <f>_xlfn.XLOOKUP(B86,'NOVACART DATA'!$D$2:$D$1000,'NOVACART DATA'!$C$2:$C$1000,"Not Found")</f>
        <v>97</v>
      </c>
      <c r="B86" s="1" t="str">
        <v>Devon Yamada</v>
      </c>
      <c r="C86" s="1" t="str">
        <f t="shared" si="3"/>
        <v>devon</v>
      </c>
      <c r="D86" s="1" t="str">
        <f t="shared" si="4"/>
        <v>yamada</v>
      </c>
      <c r="E86" s="1" t="str">
        <f t="shared" si="5"/>
        <v>devon.yamada@gmail.com</v>
      </c>
      <c r="F86" s="1" t="str">
        <f>_xlfn.XLOOKUP(A86,'NOVACART DATA'!C:C,'NOVACART DATA'!E:E,"Not Found")</f>
        <v>Regular</v>
      </c>
    </row>
    <row r="87" spans="1:6">
      <c r="A87" s="1">
        <f>_xlfn.XLOOKUP(B87,'NOVACART DATA'!$D$2:$D$1000,'NOVACART DATA'!$C$2:$C$1000,"Not Found")</f>
        <v>98</v>
      </c>
      <c r="B87" s="1" t="str">
        <v>Sasha Sullivan</v>
      </c>
      <c r="C87" s="1" t="str">
        <f t="shared" si="3"/>
        <v>sasha</v>
      </c>
      <c r="D87" s="1" t="str">
        <f t="shared" si="4"/>
        <v>sullivan</v>
      </c>
      <c r="E87" s="1" t="str">
        <f t="shared" si="5"/>
        <v>sasha.sullivan@gmail.com</v>
      </c>
      <c r="F87" s="1" t="str">
        <f>_xlfn.XLOOKUP(A87,'NOVACART DATA'!C:C,'NOVACART DATA'!E:E,"Not Found")</f>
        <v>Champion</v>
      </c>
    </row>
    <row r="88" spans="1:6">
      <c r="A88" s="1">
        <f>_xlfn.XLOOKUP(B88,'NOVACART DATA'!$D$2:$D$1000,'NOVACART DATA'!$C$2:$C$1000,"Not Found")</f>
        <v>99</v>
      </c>
      <c r="B88" s="1" t="str">
        <v>Lila Osei</v>
      </c>
      <c r="C88" s="1" t="str">
        <f t="shared" si="3"/>
        <v>lila</v>
      </c>
      <c r="D88" s="1" t="str">
        <f t="shared" si="4"/>
        <v>osei</v>
      </c>
      <c r="E88" s="1" t="str">
        <f t="shared" si="5"/>
        <v>lila.osei@gmail.com</v>
      </c>
      <c r="F88" s="1" t="str">
        <f>_xlfn.XLOOKUP(A88,'NOVACART DATA'!C:C,'NOVACART DATA'!E:E,"Not Found")</f>
        <v>Loyal</v>
      </c>
    </row>
    <row r="89" spans="1:6">
      <c r="A89" s="1">
        <f>_xlfn.XLOOKUP(B89,'NOVACART DATA'!$D$2:$D$1000,'NOVACART DATA'!$C$2:$C$1000,"Not Found")</f>
        <v>100</v>
      </c>
      <c r="B89" s="1" t="str">
        <v>Wren Park</v>
      </c>
      <c r="C89" s="1" t="str">
        <f t="shared" si="3"/>
        <v>wren</v>
      </c>
      <c r="D89" s="1" t="str">
        <f t="shared" si="4"/>
        <v>park</v>
      </c>
      <c r="E89" s="1" t="str">
        <f t="shared" si="5"/>
        <v>wren.park@gmail.com</v>
      </c>
      <c r="F89" s="1" t="str">
        <f>_xlfn.XLOOKUP(A89,'NOVACART DATA'!C:C,'NOVACART DATA'!E:E,"Not Found")</f>
        <v>Champion</v>
      </c>
    </row>
    <row r="90" spans="1:6">
      <c r="A90" s="1">
        <f>_xlfn.XLOOKUP(B90,'NOVACART DATA'!$D$2:$D$1000,'NOVACART DATA'!$C$2:$C$1000,"Not Found")</f>
        <v>101</v>
      </c>
      <c r="B90" s="1" t="str">
        <v>Kai Romano</v>
      </c>
      <c r="C90" s="1" t="str">
        <f t="shared" si="3"/>
        <v>kai</v>
      </c>
      <c r="D90" s="1" t="str">
        <f t="shared" si="4"/>
        <v>romano</v>
      </c>
      <c r="E90" s="1" t="str">
        <f t="shared" si="5"/>
        <v>kai.romano@gmail.com</v>
      </c>
      <c r="F90" s="1" t="str">
        <f>_xlfn.XLOOKUP(A90,'NOVACART DATA'!C:C,'NOVACART DATA'!E:E,"Not Found")</f>
        <v>Champion</v>
      </c>
    </row>
    <row r="91" spans="1:6">
      <c r="A91" s="1">
        <f>_xlfn.XLOOKUP(B91,'NOVACART DATA'!$D$2:$D$1000,'NOVACART DATA'!$C$2:$C$1000,"Not Found")</f>
        <v>102</v>
      </c>
      <c r="B91" s="1" t="str">
        <v>Maya Patel</v>
      </c>
      <c r="C91" s="1" t="str">
        <f t="shared" si="3"/>
        <v>maya</v>
      </c>
      <c r="D91" s="1" t="str">
        <f t="shared" si="4"/>
        <v>patel</v>
      </c>
      <c r="E91" s="1" t="str">
        <f t="shared" si="5"/>
        <v>maya.patel@gmail.com</v>
      </c>
      <c r="F91" s="1" t="str">
        <f>_xlfn.XLOOKUP(A91,'NOVACART DATA'!C:C,'NOVACART DATA'!E:E,"Not Found")</f>
        <v>Loyal</v>
      </c>
    </row>
    <row r="92" spans="1:6">
      <c r="A92" s="1">
        <f>_xlfn.XLOOKUP(B92,'NOVACART DATA'!$D$2:$D$1000,'NOVACART DATA'!$C$2:$C$1000,"Not Found")</f>
        <v>103</v>
      </c>
      <c r="B92" s="1" t="str">
        <v>Owen Nguyen</v>
      </c>
      <c r="C92" s="1" t="str">
        <f t="shared" si="3"/>
        <v>owen</v>
      </c>
      <c r="D92" s="1" t="str">
        <f t="shared" si="4"/>
        <v>nguyen</v>
      </c>
      <c r="E92" s="1" t="str">
        <f t="shared" si="5"/>
        <v>owen.nguyen@gmail.com</v>
      </c>
      <c r="F92" s="1" t="str">
        <f>_xlfn.XLOOKUP(A92,'NOVACART DATA'!C:C,'NOVACART DATA'!E:E,"Not Found")</f>
        <v>Champion</v>
      </c>
    </row>
    <row r="93" spans="1:6">
      <c r="A93" s="1">
        <f>_xlfn.XLOOKUP(B93,'NOVACART DATA'!$D$2:$D$1000,'NOVACART DATA'!$C$2:$C$1000,"Not Found")</f>
        <v>104</v>
      </c>
      <c r="B93" s="1" t="str">
        <v>Jamie Hassan</v>
      </c>
      <c r="C93" s="1" t="str">
        <f t="shared" si="3"/>
        <v>jamie</v>
      </c>
      <c r="D93" s="1" t="str">
        <f t="shared" si="4"/>
        <v>hassan</v>
      </c>
      <c r="E93" s="1" t="str">
        <f t="shared" si="5"/>
        <v>jamie.hassan@gmail.com</v>
      </c>
      <c r="F93" s="1" t="str">
        <f>_xlfn.XLOOKUP(A93,'NOVACART DATA'!C:C,'NOVACART DATA'!E:E,"Not Found")</f>
        <v>Regular</v>
      </c>
    </row>
    <row r="94" spans="1:6">
      <c r="A94" s="1">
        <f>_xlfn.XLOOKUP(B94,'NOVACART DATA'!$D$2:$D$1000,'NOVACART DATA'!$C$2:$C$1000,"Not Found")</f>
        <v>105</v>
      </c>
      <c r="B94" s="1" t="str">
        <v>Jordan Petrov</v>
      </c>
      <c r="C94" s="1" t="str">
        <f t="shared" si="3"/>
        <v>jordan</v>
      </c>
      <c r="D94" s="1" t="str">
        <f t="shared" si="4"/>
        <v>petrov</v>
      </c>
      <c r="E94" s="1" t="str">
        <f t="shared" si="5"/>
        <v>jordan.petrov@gmail.com</v>
      </c>
      <c r="F94" s="1" t="str">
        <f>_xlfn.XLOOKUP(A94,'NOVACART DATA'!C:C,'NOVACART DATA'!E:E,"Not Found")</f>
        <v>New</v>
      </c>
    </row>
    <row r="95" spans="1:6">
      <c r="A95" s="1">
        <f>_xlfn.XLOOKUP(B95,'NOVACART DATA'!$D$2:$D$1000,'NOVACART DATA'!$C$2:$C$1000,"Not Found")</f>
        <v>107</v>
      </c>
      <c r="B95" s="1" t="str">
        <v>Ivy Carter</v>
      </c>
      <c r="C95" s="1" t="str">
        <f t="shared" si="3"/>
        <v>ivy</v>
      </c>
      <c r="D95" s="1" t="str">
        <f t="shared" si="4"/>
        <v>carter</v>
      </c>
      <c r="E95" s="1" t="str">
        <f t="shared" si="5"/>
        <v>ivy.carter@gmail.com</v>
      </c>
      <c r="F95" s="1" t="str">
        <f>_xlfn.XLOOKUP(A95,'NOVACART DATA'!C:C,'NOVACART DATA'!E:E,"Not Found")</f>
        <v>Regular</v>
      </c>
    </row>
    <row r="96" spans="1:6">
      <c r="A96" s="1">
        <f>_xlfn.XLOOKUP(B96,'NOVACART DATA'!$D$2:$D$1000,'NOVACART DATA'!$C$2:$C$1000,"Not Found")</f>
        <v>109</v>
      </c>
      <c r="B96" s="1" t="str">
        <v>Drew Marsh</v>
      </c>
      <c r="C96" s="1" t="str">
        <f t="shared" si="3"/>
        <v>drew</v>
      </c>
      <c r="D96" s="1" t="str">
        <f t="shared" si="4"/>
        <v>marsh</v>
      </c>
      <c r="E96" s="1" t="str">
        <f t="shared" si="5"/>
        <v>drew.marsh@gmail.com</v>
      </c>
      <c r="F96" s="1" t="str">
        <f>_xlfn.XLOOKUP(A96,'NOVACART DATA'!C:C,'NOVACART DATA'!E:E,"Not Found")</f>
        <v>Champion</v>
      </c>
    </row>
    <row r="97" spans="1:6">
      <c r="A97" s="1">
        <f>_xlfn.XLOOKUP(B97,'NOVACART DATA'!$D$2:$D$1000,'NOVACART DATA'!$C$2:$C$1000,"Not Found")</f>
        <v>110</v>
      </c>
      <c r="B97" s="1" t="str">
        <v>Nora Sullivan</v>
      </c>
      <c r="C97" s="1" t="str">
        <f t="shared" si="3"/>
        <v>nora</v>
      </c>
      <c r="D97" s="1" t="str">
        <f t="shared" si="4"/>
        <v>sullivan</v>
      </c>
      <c r="E97" s="1" t="str">
        <f t="shared" si="5"/>
        <v>nora.sullivan@gmail.com</v>
      </c>
      <c r="F97" s="1" t="str">
        <f>_xlfn.XLOOKUP(A97,'NOVACART DATA'!C:C,'NOVACART DATA'!E:E,"Not Found")</f>
        <v>Regular</v>
      </c>
    </row>
    <row r="98" spans="1:6">
      <c r="A98" s="1">
        <f>_xlfn.XLOOKUP(B98,'NOVACART DATA'!$D$2:$D$1000,'NOVACART DATA'!$C$2:$C$1000,"Not Found")</f>
        <v>112</v>
      </c>
      <c r="B98" s="1" t="str">
        <v>Riley Marsh</v>
      </c>
      <c r="C98" s="1" t="str">
        <f t="shared" si="3"/>
        <v>riley</v>
      </c>
      <c r="D98" s="1" t="str">
        <f t="shared" si="4"/>
        <v>marsh</v>
      </c>
      <c r="E98" s="1" t="str">
        <f t="shared" si="5"/>
        <v>riley.marsh@gmail.com</v>
      </c>
      <c r="F98" s="1" t="str">
        <f>_xlfn.XLOOKUP(A98,'NOVACART DATA'!C:C,'NOVACART DATA'!E:E,"Not Found")</f>
        <v>Regular</v>
      </c>
    </row>
    <row r="99" spans="1:6">
      <c r="A99" s="1">
        <f>_xlfn.XLOOKUP(B99,'NOVACART DATA'!$D$2:$D$1000,'NOVACART DATA'!$C$2:$C$1000,"Not Found")</f>
        <v>113</v>
      </c>
      <c r="B99" s="1" t="str">
        <v>Iris Romano</v>
      </c>
      <c r="C99" s="1" t="str">
        <f t="shared" si="3"/>
        <v>iris</v>
      </c>
      <c r="D99" s="1" t="str">
        <f t="shared" si="4"/>
        <v>romano</v>
      </c>
      <c r="E99" s="1" t="str">
        <f t="shared" si="5"/>
        <v>iris.romano@gmail.com</v>
      </c>
      <c r="F99" s="1" t="str">
        <f>_xlfn.XLOOKUP(A99,'NOVACART DATA'!C:C,'NOVACART DATA'!E:E,"Not Found")</f>
        <v>New</v>
      </c>
    </row>
    <row r="100" spans="1:6">
      <c r="A100" s="1">
        <f>_xlfn.XLOOKUP(B100,'NOVACART DATA'!$D$2:$D$1000,'NOVACART DATA'!$C$2:$C$1000,"Not Found")</f>
        <v>114</v>
      </c>
      <c r="B100" s="1" t="str">
        <v>Riley Diaz</v>
      </c>
      <c r="C100" s="1" t="str">
        <f t="shared" si="3"/>
        <v>riley</v>
      </c>
      <c r="D100" s="1" t="str">
        <f t="shared" si="4"/>
        <v>diaz</v>
      </c>
      <c r="E100" s="1" t="str">
        <f t="shared" si="5"/>
        <v>riley.diaz@gmail.com</v>
      </c>
      <c r="F100" s="1" t="str">
        <f>_xlfn.XLOOKUP(A100,'NOVACART DATA'!C:C,'NOVACART DATA'!E:E,"Not Found")</f>
        <v>New</v>
      </c>
    </row>
    <row r="101" spans="1:6">
      <c r="A101" s="1">
        <f>_xlfn.XLOOKUP(B101,'NOVACART DATA'!$D$2:$D$1000,'NOVACART DATA'!$C$2:$C$1000,"Not Found")</f>
        <v>115</v>
      </c>
      <c r="B101" s="1" t="str">
        <v>Taylor Fischer</v>
      </c>
      <c r="C101" s="1" t="str">
        <f t="shared" si="3"/>
        <v>taylor</v>
      </c>
      <c r="D101" s="1" t="str">
        <f t="shared" si="4"/>
        <v>fischer</v>
      </c>
      <c r="E101" s="1" t="str">
        <f t="shared" si="5"/>
        <v>taylor.fischer@gmail.com</v>
      </c>
      <c r="F101" s="1" t="str">
        <f>_xlfn.XLOOKUP(A101,'NOVACART DATA'!C:C,'NOVACART DATA'!E:E,"Not Found")</f>
        <v>New</v>
      </c>
    </row>
    <row r="102" spans="1:6">
      <c r="A102" s="1">
        <f>_xlfn.XLOOKUP(B102,'NOVACART DATA'!$D$2:$D$1000,'NOVACART DATA'!$C$2:$C$1000,"Not Found")</f>
        <v>117</v>
      </c>
      <c r="B102" s="1" t="str">
        <v>Avery Romano</v>
      </c>
      <c r="C102" s="1" t="str">
        <f t="shared" si="3"/>
        <v>avery</v>
      </c>
      <c r="D102" s="1" t="str">
        <f t="shared" si="4"/>
        <v>romano</v>
      </c>
      <c r="E102" s="1" t="str">
        <f t="shared" si="5"/>
        <v>avery.romano@gmail.com</v>
      </c>
      <c r="F102" s="1" t="str">
        <f>_xlfn.XLOOKUP(A102,'NOVACART DATA'!C:C,'NOVACART DATA'!E:E,"Not Found")</f>
        <v>Regular</v>
      </c>
    </row>
    <row r="103" spans="1:6">
      <c r="A103" s="1">
        <f>_xlfn.XLOOKUP(B103,'NOVACART DATA'!$D$2:$D$1000,'NOVACART DATA'!$C$2:$C$1000,"Not Found")</f>
        <v>118</v>
      </c>
      <c r="B103" s="1" t="str">
        <v>Maya Hassan</v>
      </c>
      <c r="C103" s="1" t="str">
        <f t="shared" si="3"/>
        <v>maya</v>
      </c>
      <c r="D103" s="1" t="str">
        <f t="shared" si="4"/>
        <v>hassan</v>
      </c>
      <c r="E103" s="1" t="str">
        <f t="shared" si="5"/>
        <v>maya.hassan@gmail.com</v>
      </c>
      <c r="F103" s="1" t="str">
        <f>_xlfn.XLOOKUP(A103,'NOVACART DATA'!C:C,'NOVACART DATA'!E:E,"Not Found")</f>
        <v>Loyal</v>
      </c>
    </row>
    <row r="104" spans="1:6">
      <c r="A104" s="1">
        <f>_xlfn.XLOOKUP(B104,'NOVACART DATA'!$D$2:$D$1000,'NOVACART DATA'!$C$2:$C$1000,"Not Found")</f>
        <v>119</v>
      </c>
      <c r="B104" s="1" t="str">
        <v>Owen Tan</v>
      </c>
      <c r="C104" s="1" t="str">
        <f t="shared" si="3"/>
        <v>owen</v>
      </c>
      <c r="D104" s="1" t="str">
        <f t="shared" si="4"/>
        <v>tan</v>
      </c>
      <c r="E104" s="1" t="str">
        <f t="shared" si="5"/>
        <v>owen.tan@gmail.com</v>
      </c>
      <c r="F104" s="1" t="str">
        <f>_xlfn.XLOOKUP(A104,'NOVACART DATA'!C:C,'NOVACART DATA'!E:E,"Not Found")</f>
        <v>At-Risk</v>
      </c>
    </row>
    <row r="105" spans="1:6">
      <c r="A105" s="1">
        <f>_xlfn.XLOOKUP(B105,'NOVACART DATA'!$D$2:$D$1000,'NOVACART DATA'!$C$2:$C$1000,"Not Found")</f>
        <v>120</v>
      </c>
      <c r="B105" s="1" t="str">
        <v>Noel Ibarra</v>
      </c>
      <c r="C105" s="1" t="str">
        <f t="shared" si="3"/>
        <v>noel</v>
      </c>
      <c r="D105" s="1" t="str">
        <f t="shared" si="4"/>
        <v>ibarra</v>
      </c>
      <c r="E105" s="1" t="str">
        <f t="shared" si="5"/>
        <v>noel.ibarra@gmail.com</v>
      </c>
      <c r="F105" s="1" t="str">
        <f>_xlfn.XLOOKUP(A105,'NOVACART DATA'!C:C,'NOVACART DATA'!E:E,"Not Found")</f>
        <v>At-Risk</v>
      </c>
    </row>
    <row r="106" spans="1:6">
      <c r="A106" s="1">
        <f>_xlfn.XLOOKUP(B106,'NOVACART DATA'!$D$2:$D$1000,'NOVACART DATA'!$C$2:$C$1000,"Not Found")</f>
        <v>121</v>
      </c>
      <c r="B106" s="1" t="str">
        <v>Taylor Flynn</v>
      </c>
      <c r="C106" s="1" t="str">
        <f t="shared" si="3"/>
        <v>taylor</v>
      </c>
      <c r="D106" s="1" t="str">
        <f t="shared" si="4"/>
        <v>flynn</v>
      </c>
      <c r="E106" s="1" t="str">
        <f t="shared" si="5"/>
        <v>taylor.flynn@gmail.com</v>
      </c>
      <c r="F106" s="1" t="str">
        <f>_xlfn.XLOOKUP(A106,'NOVACART DATA'!C:C,'NOVACART DATA'!E:E,"Not Found")</f>
        <v>New</v>
      </c>
    </row>
    <row r="107" spans="1:6">
      <c r="A107" s="1">
        <f>_xlfn.XLOOKUP(B107,'NOVACART DATA'!$D$2:$D$1000,'NOVACART DATA'!$C$2:$C$1000,"Not Found")</f>
        <v>122</v>
      </c>
      <c r="B107" s="1" t="str">
        <v>Drew Reid</v>
      </c>
      <c r="C107" s="1" t="str">
        <f t="shared" si="3"/>
        <v>drew</v>
      </c>
      <c r="D107" s="1" t="str">
        <f t="shared" si="4"/>
        <v>reid</v>
      </c>
      <c r="E107" s="1" t="str">
        <f t="shared" si="5"/>
        <v>drew.reid@gmail.com</v>
      </c>
      <c r="F107" s="1" t="str">
        <f>_xlfn.XLOOKUP(A107,'NOVACART DATA'!C:C,'NOVACART DATA'!E:E,"Not Found")</f>
        <v>Regular</v>
      </c>
    </row>
    <row r="108" spans="1:6">
      <c r="A108" s="1">
        <f>_xlfn.XLOOKUP(B108,'NOVACART DATA'!$D$2:$D$1000,'NOVACART DATA'!$C$2:$C$1000,"Not Found")</f>
        <v>123</v>
      </c>
      <c r="B108" s="1" t="str">
        <v>Noel Reyes</v>
      </c>
      <c r="C108" s="1" t="str">
        <f t="shared" si="3"/>
        <v>noel</v>
      </c>
      <c r="D108" s="1" t="str">
        <f t="shared" si="4"/>
        <v>reyes</v>
      </c>
      <c r="E108" s="1" t="str">
        <f t="shared" si="5"/>
        <v>noel.reyes@gmail.com</v>
      </c>
      <c r="F108" s="1" t="str">
        <f>_xlfn.XLOOKUP(A108,'NOVACART DATA'!C:C,'NOVACART DATA'!E:E,"Not Found")</f>
        <v>New</v>
      </c>
    </row>
    <row r="109" spans="1:6">
      <c r="A109" s="1">
        <f>_xlfn.XLOOKUP(B109,'NOVACART DATA'!$D$2:$D$1000,'NOVACART DATA'!$C$2:$C$1000,"Not Found")</f>
        <v>124</v>
      </c>
      <c r="B109" s="1" t="str">
        <v>Casey Reyes</v>
      </c>
      <c r="C109" s="1" t="str">
        <f t="shared" si="3"/>
        <v>casey</v>
      </c>
      <c r="D109" s="1" t="str">
        <f t="shared" si="4"/>
        <v>reyes</v>
      </c>
      <c r="E109" s="1" t="str">
        <f t="shared" si="5"/>
        <v>casey.reyes@gmail.com</v>
      </c>
      <c r="F109" s="1" t="str">
        <f>_xlfn.XLOOKUP(A109,'NOVACART DATA'!C:C,'NOVACART DATA'!E:E,"Not Found")</f>
        <v>New</v>
      </c>
    </row>
    <row r="110" spans="1:6">
      <c r="A110" s="1">
        <f>_xlfn.XLOOKUP(B110,'NOVACART DATA'!$D$2:$D$1000,'NOVACART DATA'!$C$2:$C$1000,"Not Found")</f>
        <v>125</v>
      </c>
      <c r="B110" s="1" t="str">
        <v>Riley Park</v>
      </c>
      <c r="C110" s="1" t="str">
        <f t="shared" si="3"/>
        <v>riley</v>
      </c>
      <c r="D110" s="1" t="str">
        <f t="shared" si="4"/>
        <v>park</v>
      </c>
      <c r="E110" s="1" t="str">
        <f t="shared" si="5"/>
        <v>riley.park@gmail.com</v>
      </c>
      <c r="F110" s="1" t="str">
        <f>_xlfn.XLOOKUP(A110,'NOVACART DATA'!C:C,'NOVACART DATA'!E:E,"Not Found")</f>
        <v>Loyal</v>
      </c>
    </row>
    <row r="111" spans="1:6">
      <c r="F1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F3AA-B65E-43F1-A523-70B871732DE8}">
  <sheetPr>
    <tabColor theme="3" tint="0.499984740745262"/>
  </sheetPr>
  <dimension ref="A1:J1007"/>
  <sheetViews>
    <sheetView workbookViewId="0">
      <selection activeCell="C5" sqref="C5"/>
    </sheetView>
  </sheetViews>
  <sheetFormatPr defaultRowHeight="14.4"/>
  <cols>
    <col min="1" max="1" width="10.33203125" style="1" bestFit="1" customWidth="1"/>
    <col min="2" max="2" width="7.88671875" style="1" bestFit="1" customWidth="1"/>
    <col min="3" max="3" width="11.21875" style="1" bestFit="1" customWidth="1"/>
    <col min="4" max="4" width="9.6640625" style="1" bestFit="1" customWidth="1"/>
    <col min="5" max="5" width="10.5546875" style="1" bestFit="1" customWidth="1"/>
    <col min="6" max="6" width="8.109375" style="1" bestFit="1" customWidth="1"/>
    <col min="7" max="7" width="9.109375" style="1" bestFit="1" customWidth="1"/>
    <col min="8" max="8" width="10.21875" style="1" bestFit="1" customWidth="1"/>
    <col min="9" max="9" width="8.88671875" style="1" bestFit="1" customWidth="1"/>
    <col min="10" max="10" width="8.5546875" style="1" bestFit="1" customWidth="1"/>
    <col min="11" max="16384" width="8.88671875" style="1"/>
  </cols>
  <sheetData>
    <row r="1" spans="1:10">
      <c r="A1" s="21" t="s">
        <v>206</v>
      </c>
      <c r="B1" s="21" t="s">
        <v>198</v>
      </c>
      <c r="C1" s="21" t="s">
        <v>188</v>
      </c>
      <c r="D1" s="21" t="s">
        <v>199</v>
      </c>
      <c r="E1" s="21" t="s">
        <v>200</v>
      </c>
      <c r="F1" s="21" t="s">
        <v>201</v>
      </c>
      <c r="G1" s="21" t="s">
        <v>202</v>
      </c>
      <c r="H1" s="21" t="s">
        <v>203</v>
      </c>
      <c r="I1" s="21" t="s">
        <v>204</v>
      </c>
      <c r="J1" s="21" t="s">
        <v>205</v>
      </c>
    </row>
    <row r="2" spans="1:10">
      <c r="A2" s="2">
        <f>VLOOKUP(B2,CHOOSE({1,2},'NOVACART DATA'!$B$2:$B$1001,'NOVACART DATA'!$A$2:$A$1001),2,FALSE)</f>
        <v>45945</v>
      </c>
      <c r="B2" s="1">
        <v>1010</v>
      </c>
      <c r="C2" s="1">
        <f>VLOOKUP(B2,'NOVACART DATA'!$B$2:$C$1000,2,FALSE)</f>
        <v>1</v>
      </c>
      <c r="D2" s="1">
        <v>31</v>
      </c>
      <c r="E2" s="1" t="str">
        <f>VLOOKUP(B2,'NOVACART DATA'!$B$2:$M$1001,5,FALSE)</f>
        <v>Direct</v>
      </c>
      <c r="F2" s="1">
        <v>1</v>
      </c>
      <c r="G2" s="1">
        <v>57.51</v>
      </c>
      <c r="H2" s="1">
        <v>0</v>
      </c>
      <c r="I2" s="17">
        <f t="shared" ref="I2:I65" si="0">F2*G2*(1-H2/100)</f>
        <v>57.51</v>
      </c>
      <c r="J2" s="1">
        <f>VLOOKUP(B2,'NOVACART DATA'!$B$2:$N$1001,13,FALSE)</f>
        <v>0</v>
      </c>
    </row>
    <row r="3" spans="1:10">
      <c r="A3" s="2">
        <f>VLOOKUP(B3,CHOOSE({1,2},'NOVACART DATA'!$B$2:$B$1001,'NOVACART DATA'!$A$2:$A$1001),2,FALSE)</f>
        <v>46267</v>
      </c>
      <c r="B3" s="1">
        <v>1467</v>
      </c>
      <c r="C3" s="1">
        <f>VLOOKUP(B3,'NOVACART DATA'!$B$2:$C$1000,2,FALSE)</f>
        <v>1</v>
      </c>
      <c r="D3" s="1">
        <v>17</v>
      </c>
      <c r="E3" s="1" t="str">
        <f>VLOOKUP(B3,'NOVACART DATA'!$B$2:$M$1001,5,FALSE)</f>
        <v>Direct</v>
      </c>
      <c r="F3" s="1">
        <v>1</v>
      </c>
      <c r="G3" s="1">
        <v>6.61</v>
      </c>
      <c r="H3" s="1">
        <v>0</v>
      </c>
      <c r="I3" s="17">
        <f t="shared" si="0"/>
        <v>6.61</v>
      </c>
      <c r="J3" s="1">
        <f>VLOOKUP(B3,'NOVACART DATA'!$B$2:$N$1001,13,FALSE)</f>
        <v>1</v>
      </c>
    </row>
    <row r="4" spans="1:10">
      <c r="A4" s="2">
        <f>VLOOKUP(B4,CHOOSE({1,2},'NOVACART DATA'!$B$2:$B$1001,'NOVACART DATA'!$A$2:$A$1001),2,FALSE)</f>
        <v>46267</v>
      </c>
      <c r="B4" s="1">
        <v>1467</v>
      </c>
      <c r="C4" s="1">
        <f>VLOOKUP(B4,'NOVACART DATA'!$B$2:$C$1000,2,FALSE)</f>
        <v>1</v>
      </c>
      <c r="D4" s="1">
        <v>40</v>
      </c>
      <c r="E4" s="1" t="str">
        <f>VLOOKUP(B4,'NOVACART DATA'!$B$2:$M$1001,5,FALSE)</f>
        <v>Direct</v>
      </c>
      <c r="F4" s="1">
        <v>3</v>
      </c>
      <c r="G4" s="1">
        <v>47.25</v>
      </c>
      <c r="H4" s="1">
        <v>0</v>
      </c>
      <c r="I4" s="17">
        <f t="shared" si="0"/>
        <v>141.75</v>
      </c>
      <c r="J4" s="1">
        <f>VLOOKUP(B4,'NOVACART DATA'!$B$2:$N$1001,13,FALSE)</f>
        <v>1</v>
      </c>
    </row>
    <row r="5" spans="1:10">
      <c r="A5" s="2">
        <f>VLOOKUP(B5,CHOOSE({1,2},'NOVACART DATA'!$B$2:$B$1001,'NOVACART DATA'!$A$2:$A$1001),2,FALSE)</f>
        <v>46023</v>
      </c>
      <c r="B5" s="1">
        <v>1363</v>
      </c>
      <c r="C5" s="1">
        <f>VLOOKUP(B5,'NOVACART DATA'!$B$2:$C$1000,2,FALSE)</f>
        <v>2</v>
      </c>
      <c r="D5" s="1">
        <v>11</v>
      </c>
      <c r="E5" s="1" t="str">
        <f>VLOOKUP(B5,'NOVACART DATA'!$B$2:$M$1001,5,FALSE)</f>
        <v>Organic</v>
      </c>
      <c r="F5" s="1">
        <v>1</v>
      </c>
      <c r="G5" s="1">
        <v>58.35</v>
      </c>
      <c r="H5" s="1">
        <v>0</v>
      </c>
      <c r="I5" s="17">
        <f t="shared" si="0"/>
        <v>58.35</v>
      </c>
      <c r="J5" s="1">
        <f>VLOOKUP(B5,'NOVACART DATA'!$B$2:$N$1001,13,FALSE)</f>
        <v>0</v>
      </c>
    </row>
    <row r="6" spans="1:10">
      <c r="A6" s="2">
        <f>VLOOKUP(B6,CHOOSE({1,2},'NOVACART DATA'!$B$2:$B$1001,'NOVACART DATA'!$A$2:$A$1001),2,FALSE)</f>
        <v>46016</v>
      </c>
      <c r="B6" s="1">
        <v>1082</v>
      </c>
      <c r="C6" s="1">
        <f>VLOOKUP(B6,'NOVACART DATA'!$B$2:$C$1000,2,FALSE)</f>
        <v>2</v>
      </c>
      <c r="D6" s="1">
        <v>17</v>
      </c>
      <c r="E6" s="1" t="str">
        <f>VLOOKUP(B6,'NOVACART DATA'!$B$2:$M$1001,5,FALSE)</f>
        <v>Direct</v>
      </c>
      <c r="F6" s="1">
        <v>1</v>
      </c>
      <c r="G6" s="1">
        <v>6.61</v>
      </c>
      <c r="H6" s="1">
        <v>10</v>
      </c>
      <c r="I6" s="17">
        <f t="shared" si="0"/>
        <v>5.9490000000000007</v>
      </c>
      <c r="J6" s="1">
        <f>VLOOKUP(B6,'NOVACART DATA'!$B$2:$N$1001,13,FALSE)</f>
        <v>0</v>
      </c>
    </row>
    <row r="7" spans="1:10">
      <c r="A7" s="2">
        <f>VLOOKUP(B7,CHOOSE({1,2},'NOVACART DATA'!$B$2:$B$1001,'NOVACART DATA'!$A$2:$A$1001),2,FALSE)</f>
        <v>46017</v>
      </c>
      <c r="B7" s="1">
        <v>1329</v>
      </c>
      <c r="C7" s="1">
        <f>VLOOKUP(B7,'NOVACART DATA'!$B$2:$C$1000,2,FALSE)</f>
        <v>2</v>
      </c>
      <c r="D7" s="1">
        <v>20</v>
      </c>
      <c r="E7" s="1" t="str">
        <f>VLOOKUP(B7,'NOVACART DATA'!$B$2:$M$1001,5,FALSE)</f>
        <v>Organic</v>
      </c>
      <c r="F7" s="1">
        <v>2</v>
      </c>
      <c r="G7" s="1">
        <v>32.76</v>
      </c>
      <c r="H7" s="1">
        <v>0</v>
      </c>
      <c r="I7" s="17">
        <f t="shared" si="0"/>
        <v>65.52</v>
      </c>
      <c r="J7" s="1">
        <f>VLOOKUP(B7,'NOVACART DATA'!$B$2:$N$1001,13,FALSE)</f>
        <v>0</v>
      </c>
    </row>
    <row r="8" spans="1:10">
      <c r="A8" s="2">
        <f>VLOOKUP(B8,CHOOSE({1,2},'NOVACART DATA'!$B$2:$B$1001,'NOVACART DATA'!$A$2:$A$1001),2,FALSE)</f>
        <v>45973</v>
      </c>
      <c r="B8" s="1">
        <v>1254</v>
      </c>
      <c r="C8" s="1">
        <f>VLOOKUP(B8,'NOVACART DATA'!$B$2:$C$1000,2,FALSE)</f>
        <v>3</v>
      </c>
      <c r="D8" s="1">
        <v>37</v>
      </c>
      <c r="E8" s="1" t="str">
        <f>VLOOKUP(B8,'NOVACART DATA'!$B$2:$M$1001,5,FALSE)</f>
        <v>Email</v>
      </c>
      <c r="F8" s="1">
        <v>1</v>
      </c>
      <c r="G8" s="1">
        <v>52.67</v>
      </c>
      <c r="H8" s="1">
        <v>0</v>
      </c>
      <c r="I8" s="17">
        <f t="shared" si="0"/>
        <v>52.67</v>
      </c>
      <c r="J8" s="1">
        <f>VLOOKUP(B8,'NOVACART DATA'!$B$2:$N$1001,13,FALSE)</f>
        <v>0</v>
      </c>
    </row>
    <row r="9" spans="1:10">
      <c r="A9" s="2">
        <f>VLOOKUP(B9,CHOOSE({1,2},'NOVACART DATA'!$B$2:$B$1001,'NOVACART DATA'!$A$2:$A$1001),2,FALSE)</f>
        <v>46005</v>
      </c>
      <c r="B9" s="1">
        <v>1274</v>
      </c>
      <c r="C9" s="1">
        <f>VLOOKUP(B9,'NOVACART DATA'!$B$2:$C$1000,2,FALSE)</f>
        <v>3</v>
      </c>
      <c r="D9" s="1">
        <v>20</v>
      </c>
      <c r="E9" s="1" t="str">
        <f>VLOOKUP(B9,'NOVACART DATA'!$B$2:$M$1001,5,FALSE)</f>
        <v>Email</v>
      </c>
      <c r="F9" s="1">
        <v>1</v>
      </c>
      <c r="G9" s="1">
        <v>32.76</v>
      </c>
      <c r="H9" s="1">
        <v>0</v>
      </c>
      <c r="I9" s="17">
        <f t="shared" si="0"/>
        <v>32.76</v>
      </c>
      <c r="J9" s="1">
        <f>VLOOKUP(B9,'NOVACART DATA'!$B$2:$N$1001,13,FALSE)</f>
        <v>0</v>
      </c>
    </row>
    <row r="10" spans="1:10">
      <c r="A10" s="2">
        <f>VLOOKUP(B10,CHOOSE({1,2},'NOVACART DATA'!$B$2:$B$1001,'NOVACART DATA'!$A$2:$A$1001),2,FALSE)</f>
        <v>46005</v>
      </c>
      <c r="B10" s="1">
        <v>1274</v>
      </c>
      <c r="C10" s="1">
        <f>VLOOKUP(B10,'NOVACART DATA'!$B$2:$C$1000,2,FALSE)</f>
        <v>3</v>
      </c>
      <c r="D10" s="1">
        <v>8</v>
      </c>
      <c r="E10" s="1" t="str">
        <f>VLOOKUP(B10,'NOVACART DATA'!$B$2:$M$1001,5,FALSE)</f>
        <v>Email</v>
      </c>
      <c r="F10" s="1">
        <v>1</v>
      </c>
      <c r="G10" s="1">
        <v>16.72</v>
      </c>
      <c r="H10" s="1">
        <v>0</v>
      </c>
      <c r="I10" s="17">
        <f t="shared" si="0"/>
        <v>16.72</v>
      </c>
      <c r="J10" s="1">
        <f>VLOOKUP(B10,'NOVACART DATA'!$B$2:$N$1001,13,FALSE)</f>
        <v>0</v>
      </c>
    </row>
    <row r="11" spans="1:10">
      <c r="A11" s="2">
        <f>VLOOKUP(B11,CHOOSE({1,2},'NOVACART DATA'!$B$2:$B$1001,'NOVACART DATA'!$A$2:$A$1001),2,FALSE)</f>
        <v>46005</v>
      </c>
      <c r="B11" s="1">
        <v>1274</v>
      </c>
      <c r="C11" s="1">
        <f>VLOOKUP(B11,'NOVACART DATA'!$B$2:$C$1000,2,FALSE)</f>
        <v>3</v>
      </c>
      <c r="D11" s="1">
        <v>6</v>
      </c>
      <c r="E11" s="1" t="str">
        <f>VLOOKUP(B11,'NOVACART DATA'!$B$2:$M$1001,5,FALSE)</f>
        <v>Email</v>
      </c>
      <c r="F11" s="1">
        <v>1</v>
      </c>
      <c r="G11" s="1">
        <v>70.47</v>
      </c>
      <c r="H11" s="1">
        <v>0</v>
      </c>
      <c r="I11" s="17">
        <f t="shared" si="0"/>
        <v>70.47</v>
      </c>
      <c r="J11" s="1">
        <f>VLOOKUP(B11,'NOVACART DATA'!$B$2:$N$1001,13,FALSE)</f>
        <v>0</v>
      </c>
    </row>
    <row r="12" spans="1:10">
      <c r="A12" s="2">
        <f>VLOOKUP(B12,CHOOSE({1,2},'NOVACART DATA'!$B$2:$B$1001,'NOVACART DATA'!$A$2:$A$1001),2,FALSE)</f>
        <v>46040</v>
      </c>
      <c r="B12" s="1">
        <v>1410</v>
      </c>
      <c r="C12" s="1">
        <f>VLOOKUP(B12,'NOVACART DATA'!$B$2:$C$1000,2,FALSE)</f>
        <v>3</v>
      </c>
      <c r="D12" s="1">
        <v>8</v>
      </c>
      <c r="E12" s="1" t="str">
        <f>VLOOKUP(B12,'NOVACART DATA'!$B$2:$M$1001,5,FALSE)</f>
        <v>Email</v>
      </c>
      <c r="F12" s="1">
        <v>2</v>
      </c>
      <c r="G12" s="1">
        <v>16.72</v>
      </c>
      <c r="H12" s="1">
        <v>10</v>
      </c>
      <c r="I12" s="17">
        <f t="shared" si="0"/>
        <v>30.096</v>
      </c>
      <c r="J12" s="1">
        <f>VLOOKUP(B12,'NOVACART DATA'!$B$2:$N$1001,13,FALSE)</f>
        <v>0</v>
      </c>
    </row>
    <row r="13" spans="1:10">
      <c r="A13" s="2">
        <f>VLOOKUP(B13,CHOOSE({1,2},'NOVACART DATA'!$B$2:$B$1001,'NOVACART DATA'!$A$2:$A$1001),2,FALSE)</f>
        <v>46082</v>
      </c>
      <c r="B13" s="1">
        <v>1547</v>
      </c>
      <c r="C13" s="1">
        <f>VLOOKUP(B13,'NOVACART DATA'!$B$2:$C$1000,2,FALSE)</f>
        <v>3</v>
      </c>
      <c r="D13" s="1">
        <v>18</v>
      </c>
      <c r="E13" s="1" t="str">
        <f>VLOOKUP(B13,'NOVACART DATA'!$B$2:$M$1001,5,FALSE)</f>
        <v>Email</v>
      </c>
      <c r="F13" s="1">
        <v>1</v>
      </c>
      <c r="G13" s="1">
        <v>44.01</v>
      </c>
      <c r="H13" s="1">
        <v>0</v>
      </c>
      <c r="I13" s="17">
        <f t="shared" si="0"/>
        <v>44.01</v>
      </c>
      <c r="J13" s="1">
        <f>VLOOKUP(B13,'NOVACART DATA'!$B$2:$N$1001,13,FALSE)</f>
        <v>0</v>
      </c>
    </row>
    <row r="14" spans="1:10">
      <c r="A14" s="2">
        <f>VLOOKUP(B14,CHOOSE({1,2},'NOVACART DATA'!$B$2:$B$1001,'NOVACART DATA'!$A$2:$A$1001),2,FALSE)</f>
        <v>45983</v>
      </c>
      <c r="B14" s="1">
        <v>1163</v>
      </c>
      <c r="C14" s="1">
        <f>VLOOKUP(B14,'NOVACART DATA'!$B$2:$C$1000,2,FALSE)</f>
        <v>4</v>
      </c>
      <c r="D14" s="1">
        <v>24</v>
      </c>
      <c r="E14" s="1" t="str">
        <f>VLOOKUP(B14,'NOVACART DATA'!$B$2:$M$1001,5,FALSE)</f>
        <v>Paid Search</v>
      </c>
      <c r="F14" s="1">
        <v>2</v>
      </c>
      <c r="G14" s="1">
        <v>43.42</v>
      </c>
      <c r="H14" s="1">
        <v>0</v>
      </c>
      <c r="I14" s="17">
        <f t="shared" si="0"/>
        <v>86.84</v>
      </c>
      <c r="J14" s="1">
        <f>VLOOKUP(B14,'NOVACART DATA'!$B$2:$N$1001,13,FALSE)</f>
        <v>0</v>
      </c>
    </row>
    <row r="15" spans="1:10">
      <c r="A15" s="2">
        <f>VLOOKUP(B15,CHOOSE({1,2},'NOVACART DATA'!$B$2:$B$1001,'NOVACART DATA'!$A$2:$A$1001),2,FALSE)</f>
        <v>45983</v>
      </c>
      <c r="B15" s="1">
        <v>1163</v>
      </c>
      <c r="C15" s="1">
        <f>VLOOKUP(B15,'NOVACART DATA'!$B$2:$C$1000,2,FALSE)</f>
        <v>4</v>
      </c>
      <c r="D15" s="1">
        <v>36</v>
      </c>
      <c r="E15" s="1" t="str">
        <f>VLOOKUP(B15,'NOVACART DATA'!$B$2:$M$1001,5,FALSE)</f>
        <v>Paid Search</v>
      </c>
      <c r="F15" s="1">
        <v>2</v>
      </c>
      <c r="G15" s="1">
        <v>23.23</v>
      </c>
      <c r="H15" s="1">
        <v>0</v>
      </c>
      <c r="I15" s="17">
        <f t="shared" si="0"/>
        <v>46.46</v>
      </c>
      <c r="J15" s="1">
        <f>VLOOKUP(B15,'NOVACART DATA'!$B$2:$N$1001,13,FALSE)</f>
        <v>0</v>
      </c>
    </row>
    <row r="16" spans="1:10">
      <c r="A16" s="2">
        <f>VLOOKUP(B16,CHOOSE({1,2},'NOVACART DATA'!$B$2:$B$1001,'NOVACART DATA'!$A$2:$A$1001),2,FALSE)</f>
        <v>46003</v>
      </c>
      <c r="B16" s="1">
        <v>1261</v>
      </c>
      <c r="C16" s="1">
        <f>VLOOKUP(B16,'NOVACART DATA'!$B$2:$C$1000,2,FALSE)</f>
        <v>4</v>
      </c>
      <c r="D16" s="1">
        <v>5</v>
      </c>
      <c r="E16" s="1" t="str">
        <f>VLOOKUP(B16,'NOVACART DATA'!$B$2:$M$1001,5,FALSE)</f>
        <v>Paid Search</v>
      </c>
      <c r="F16" s="1">
        <v>2</v>
      </c>
      <c r="G16" s="1">
        <v>42.53</v>
      </c>
      <c r="H16" s="1">
        <v>0</v>
      </c>
      <c r="I16" s="17">
        <f t="shared" si="0"/>
        <v>85.06</v>
      </c>
      <c r="J16" s="1">
        <f>VLOOKUP(B16,'NOVACART DATA'!$B$2:$N$1001,13,FALSE)</f>
        <v>0</v>
      </c>
    </row>
    <row r="17" spans="1:10">
      <c r="A17" s="2">
        <f>VLOOKUP(B17,CHOOSE({1,2},'NOVACART DATA'!$B$2:$B$1001,'NOVACART DATA'!$A$2:$A$1001),2,FALSE)</f>
        <v>46007</v>
      </c>
      <c r="B17" s="1">
        <v>1284</v>
      </c>
      <c r="C17" s="1">
        <f>VLOOKUP(B17,'NOVACART DATA'!$B$2:$C$1000,2,FALSE)</f>
        <v>4</v>
      </c>
      <c r="D17" s="1">
        <v>20</v>
      </c>
      <c r="E17" s="1" t="str">
        <f>VLOOKUP(B17,'NOVACART DATA'!$B$2:$M$1001,5,FALSE)</f>
        <v>Paid Search</v>
      </c>
      <c r="F17" s="1">
        <v>1</v>
      </c>
      <c r="G17" s="1">
        <v>32.76</v>
      </c>
      <c r="H17" s="1">
        <v>0</v>
      </c>
      <c r="I17" s="17">
        <f t="shared" si="0"/>
        <v>32.76</v>
      </c>
      <c r="J17" s="1">
        <f>VLOOKUP(B17,'NOVACART DATA'!$B$2:$N$1001,13,FALSE)</f>
        <v>0</v>
      </c>
    </row>
    <row r="18" spans="1:10">
      <c r="A18" s="2">
        <f>VLOOKUP(B18,CHOOSE({1,2},'NOVACART DATA'!$B$2:$B$1001,'NOVACART DATA'!$A$2:$A$1001),2,FALSE)</f>
        <v>45949</v>
      </c>
      <c r="B18" s="1">
        <v>1026</v>
      </c>
      <c r="C18" s="1">
        <f>VLOOKUP(B18,'NOVACART DATA'!$B$2:$C$1000,2,FALSE)</f>
        <v>5</v>
      </c>
      <c r="D18" s="1">
        <v>16</v>
      </c>
      <c r="E18" s="1" t="str">
        <f>VLOOKUP(B18,'NOVACART DATA'!$B$2:$M$1001,5,FALSE)</f>
        <v>Email</v>
      </c>
      <c r="F18" s="1">
        <v>2</v>
      </c>
      <c r="G18" s="1">
        <v>11.81</v>
      </c>
      <c r="H18" s="1">
        <v>0</v>
      </c>
      <c r="I18" s="17">
        <f t="shared" si="0"/>
        <v>23.62</v>
      </c>
      <c r="J18" s="1">
        <f>VLOOKUP(B18,'NOVACART DATA'!$B$2:$N$1001,13,FALSE)</f>
        <v>0</v>
      </c>
    </row>
    <row r="19" spans="1:10">
      <c r="A19" s="2">
        <f>VLOOKUP(B19,CHOOSE({1,2},'NOVACART DATA'!$B$2:$B$1001,'NOVACART DATA'!$A$2:$A$1001),2,FALSE)</f>
        <v>45985</v>
      </c>
      <c r="B19" s="1">
        <v>1171</v>
      </c>
      <c r="C19" s="1">
        <f>VLOOKUP(B19,'NOVACART DATA'!$B$2:$C$1000,2,FALSE)</f>
        <v>5</v>
      </c>
      <c r="D19" s="1">
        <v>22</v>
      </c>
      <c r="E19" s="1" t="str">
        <f>VLOOKUP(B19,'NOVACART DATA'!$B$2:$M$1001,5,FALSE)</f>
        <v>Email</v>
      </c>
      <c r="F19" s="1">
        <v>1</v>
      </c>
      <c r="G19" s="1">
        <v>29.98</v>
      </c>
      <c r="H19" s="1">
        <v>25</v>
      </c>
      <c r="I19" s="17">
        <f t="shared" si="0"/>
        <v>22.484999999999999</v>
      </c>
      <c r="J19" s="1">
        <f>VLOOKUP(B19,'NOVACART DATA'!$B$2:$N$1001,13,FALSE)</f>
        <v>0</v>
      </c>
    </row>
    <row r="20" spans="1:10">
      <c r="A20" s="2">
        <f>VLOOKUP(B20,CHOOSE({1,2},'NOVACART DATA'!$B$2:$B$1001,'NOVACART DATA'!$A$2:$A$1001),2,FALSE)</f>
        <v>45985</v>
      </c>
      <c r="B20" s="1">
        <v>1044</v>
      </c>
      <c r="C20" s="1">
        <f>VLOOKUP(B20,'NOVACART DATA'!$B$2:$C$1000,2,FALSE)</f>
        <v>5</v>
      </c>
      <c r="D20" s="1">
        <v>39</v>
      </c>
      <c r="E20" s="1" t="str">
        <f>VLOOKUP(B20,'NOVACART DATA'!$B$2:$M$1001,5,FALSE)</f>
        <v>Email</v>
      </c>
      <c r="F20" s="1">
        <v>1</v>
      </c>
      <c r="G20" s="1">
        <v>39.979999999999997</v>
      </c>
      <c r="H20" s="1">
        <v>20</v>
      </c>
      <c r="I20" s="17">
        <f t="shared" si="0"/>
        <v>31.983999999999998</v>
      </c>
      <c r="J20" s="1">
        <f>VLOOKUP(B20,'NOVACART DATA'!$B$2:$N$1001,13,FALSE)</f>
        <v>0</v>
      </c>
    </row>
    <row r="21" spans="1:10">
      <c r="A21" s="2">
        <f>VLOOKUP(B21,CHOOSE({1,2},'NOVACART DATA'!$B$2:$B$1001,'NOVACART DATA'!$A$2:$A$1001),2,FALSE)</f>
        <v>45789</v>
      </c>
      <c r="B21" s="1">
        <v>1225</v>
      </c>
      <c r="C21" s="1">
        <f>VLOOKUP(B21,'NOVACART DATA'!$B$2:$C$1000,2,FALSE)</f>
        <v>5</v>
      </c>
      <c r="D21" s="1">
        <v>18</v>
      </c>
      <c r="E21" s="1" t="str">
        <f>VLOOKUP(B21,'NOVACART DATA'!$B$2:$M$1001,5,FALSE)</f>
        <v>Email</v>
      </c>
      <c r="F21" s="1">
        <v>2</v>
      </c>
      <c r="G21" s="1">
        <v>44.01</v>
      </c>
      <c r="H21" s="1">
        <v>0</v>
      </c>
      <c r="I21" s="17">
        <f t="shared" si="0"/>
        <v>88.02</v>
      </c>
      <c r="J21" s="1">
        <f>VLOOKUP(B21,'NOVACART DATA'!$B$2:$N$1001,13,FALSE)</f>
        <v>0</v>
      </c>
    </row>
    <row r="22" spans="1:10">
      <c r="A22" s="2">
        <f>VLOOKUP(B22,CHOOSE({1,2},'NOVACART DATA'!$B$2:$B$1001,'NOVACART DATA'!$A$2:$A$1001),2,FALSE)</f>
        <v>46068</v>
      </c>
      <c r="B22" s="1">
        <v>1488</v>
      </c>
      <c r="C22" s="1">
        <f>VLOOKUP(B22,'NOVACART DATA'!$B$2:$C$1000,2,FALSE)</f>
        <v>5</v>
      </c>
      <c r="D22" s="1">
        <v>26</v>
      </c>
      <c r="E22" s="1" t="str">
        <f>VLOOKUP(B22,'NOVACART DATA'!$B$2:$M$1001,5,FALSE)</f>
        <v>Email</v>
      </c>
      <c r="F22" s="1">
        <v>1</v>
      </c>
      <c r="G22" s="1">
        <v>31.76</v>
      </c>
      <c r="H22" s="1">
        <v>0</v>
      </c>
      <c r="I22" s="17">
        <f t="shared" si="0"/>
        <v>31.76</v>
      </c>
      <c r="J22" s="1">
        <f>VLOOKUP(B22,'NOVACART DATA'!$B$2:$N$1001,13,FALSE)</f>
        <v>0</v>
      </c>
    </row>
    <row r="23" spans="1:10">
      <c r="A23" s="2">
        <f>VLOOKUP(B23,CHOOSE({1,2},'NOVACART DATA'!$B$2:$B$1001,'NOVACART DATA'!$A$2:$A$1001),2,FALSE)</f>
        <v>45985</v>
      </c>
      <c r="B23" s="1">
        <v>1171</v>
      </c>
      <c r="C23" s="1">
        <f>VLOOKUP(B23,'NOVACART DATA'!$B$2:$C$1000,2,FALSE)</f>
        <v>5</v>
      </c>
      <c r="D23" s="1">
        <v>15</v>
      </c>
      <c r="E23" s="1" t="str">
        <f>VLOOKUP(B23,'NOVACART DATA'!$B$2:$M$1001,5,FALSE)</f>
        <v>Email</v>
      </c>
      <c r="F23" s="1">
        <v>2</v>
      </c>
      <c r="G23" s="1">
        <v>47.71</v>
      </c>
      <c r="H23" s="1">
        <v>15</v>
      </c>
      <c r="I23" s="17">
        <f t="shared" si="0"/>
        <v>81.106999999999999</v>
      </c>
      <c r="J23" s="1">
        <f>VLOOKUP(B23,'NOVACART DATA'!$B$2:$N$1001,13,FALSE)</f>
        <v>0</v>
      </c>
    </row>
    <row r="24" spans="1:10">
      <c r="A24" s="2">
        <f>VLOOKUP(B24,CHOOSE({1,2},'NOVACART DATA'!$B$2:$B$1001,'NOVACART DATA'!$A$2:$A$1001),2,FALSE)</f>
        <v>45946</v>
      </c>
      <c r="B24" s="1">
        <v>1012</v>
      </c>
      <c r="C24" s="1">
        <f>VLOOKUP(B24,'NOVACART DATA'!$B$2:$C$1000,2,FALSE)</f>
        <v>6</v>
      </c>
      <c r="D24" s="1">
        <v>31</v>
      </c>
      <c r="E24" s="1" t="str">
        <f>VLOOKUP(B24,'NOVACART DATA'!$B$2:$M$1001,5,FALSE)</f>
        <v>Paid Search</v>
      </c>
      <c r="F24" s="1">
        <v>1</v>
      </c>
      <c r="G24" s="1">
        <v>57.51</v>
      </c>
      <c r="H24" s="1">
        <v>5</v>
      </c>
      <c r="I24" s="17">
        <f t="shared" si="0"/>
        <v>54.634499999999996</v>
      </c>
      <c r="J24" s="1">
        <f>VLOOKUP(B24,'NOVACART DATA'!$B$2:$N$1001,13,FALSE)</f>
        <v>0</v>
      </c>
    </row>
    <row r="25" spans="1:10">
      <c r="A25" s="2">
        <f>VLOOKUP(B25,CHOOSE({1,2},'NOVACART DATA'!$B$2:$B$1001,'NOVACART DATA'!$A$2:$A$1001),2,FALSE)</f>
        <v>45954</v>
      </c>
      <c r="B25" s="1">
        <v>1043</v>
      </c>
      <c r="C25" s="1">
        <f>VLOOKUP(B25,'NOVACART DATA'!$B$2:$C$1000,2,FALSE)</f>
        <v>6</v>
      </c>
      <c r="D25" s="1">
        <v>29</v>
      </c>
      <c r="E25" s="1" t="str">
        <f>VLOOKUP(B25,'NOVACART DATA'!$B$2:$M$1001,5,FALSE)</f>
        <v>Paid Search</v>
      </c>
      <c r="F25" s="1">
        <v>2</v>
      </c>
      <c r="G25" s="1">
        <v>45.67</v>
      </c>
      <c r="H25" s="1">
        <v>10</v>
      </c>
      <c r="I25" s="17">
        <f t="shared" si="0"/>
        <v>82.206000000000003</v>
      </c>
      <c r="J25" s="1">
        <f>VLOOKUP(B25,'NOVACART DATA'!$B$2:$N$1001,13,FALSE)</f>
        <v>0</v>
      </c>
    </row>
    <row r="26" spans="1:10">
      <c r="A26" s="2">
        <f>VLOOKUP(B26,CHOOSE({1,2},'NOVACART DATA'!$B$2:$B$1001,'NOVACART DATA'!$A$2:$A$1001),2,FALSE)</f>
        <v>45954</v>
      </c>
      <c r="B26" s="1">
        <v>1043</v>
      </c>
      <c r="C26" s="1">
        <f>VLOOKUP(B26,'NOVACART DATA'!$B$2:$C$1000,2,FALSE)</f>
        <v>6</v>
      </c>
      <c r="D26" s="1">
        <v>21</v>
      </c>
      <c r="E26" s="1" t="str">
        <f>VLOOKUP(B26,'NOVACART DATA'!$B$2:$M$1001,5,FALSE)</f>
        <v>Paid Search</v>
      </c>
      <c r="F26" s="1">
        <v>1</v>
      </c>
      <c r="G26" s="1">
        <v>49.37</v>
      </c>
      <c r="H26" s="1">
        <v>10</v>
      </c>
      <c r="I26" s="17">
        <f t="shared" si="0"/>
        <v>44.433</v>
      </c>
      <c r="J26" s="1">
        <f>VLOOKUP(B26,'NOVACART DATA'!$B$2:$N$1001,13,FALSE)</f>
        <v>0</v>
      </c>
    </row>
    <row r="27" spans="1:10">
      <c r="A27" s="2">
        <f>VLOOKUP(B27,CHOOSE({1,2},'NOVACART DATA'!$B$2:$B$1001,'NOVACART DATA'!$A$2:$A$1001),2,FALSE)</f>
        <v>45954</v>
      </c>
      <c r="B27" s="1">
        <v>1043</v>
      </c>
      <c r="C27" s="1">
        <f>VLOOKUP(B27,'NOVACART DATA'!$B$2:$C$1000,2,FALSE)</f>
        <v>6</v>
      </c>
      <c r="D27" s="1">
        <v>7</v>
      </c>
      <c r="E27" s="1" t="str">
        <f>VLOOKUP(B27,'NOVACART DATA'!$B$2:$M$1001,5,FALSE)</f>
        <v>Paid Search</v>
      </c>
      <c r="F27" s="1">
        <v>2</v>
      </c>
      <c r="G27" s="1">
        <v>79.39</v>
      </c>
      <c r="H27" s="1">
        <v>0</v>
      </c>
      <c r="I27" s="17">
        <f t="shared" si="0"/>
        <v>158.78</v>
      </c>
      <c r="J27" s="1">
        <f>VLOOKUP(B27,'NOVACART DATA'!$B$2:$N$1001,13,FALSE)</f>
        <v>0</v>
      </c>
    </row>
    <row r="28" spans="1:10">
      <c r="A28" s="2">
        <f>VLOOKUP(B28,CHOOSE({1,2},'NOVACART DATA'!$B$2:$B$1001,'NOVACART DATA'!$A$2:$A$1001),2,FALSE)</f>
        <v>45955</v>
      </c>
      <c r="B28" s="1">
        <v>1047</v>
      </c>
      <c r="C28" s="1">
        <f>VLOOKUP(B28,'NOVACART DATA'!$B$2:$C$1000,2,FALSE)</f>
        <v>6</v>
      </c>
      <c r="D28" s="1">
        <v>25</v>
      </c>
      <c r="E28" s="1" t="str">
        <f>VLOOKUP(B28,'NOVACART DATA'!$B$2:$M$1001,5,FALSE)</f>
        <v>Paid Search</v>
      </c>
      <c r="F28" s="1">
        <v>1</v>
      </c>
      <c r="G28" s="1">
        <v>17.78</v>
      </c>
      <c r="H28" s="1">
        <v>0</v>
      </c>
      <c r="I28" s="17">
        <f t="shared" si="0"/>
        <v>17.78</v>
      </c>
      <c r="J28" s="1">
        <f>VLOOKUP(B28,'NOVACART DATA'!$B$2:$N$1001,13,FALSE)</f>
        <v>0</v>
      </c>
    </row>
    <row r="29" spans="1:10">
      <c r="A29" s="2">
        <f>VLOOKUP(B29,CHOOSE({1,2},'NOVACART DATA'!$B$2:$B$1001,'NOVACART DATA'!$A$2:$A$1001),2,FALSE)</f>
        <v>45955</v>
      </c>
      <c r="B29" s="1">
        <v>1047</v>
      </c>
      <c r="C29" s="1">
        <f>VLOOKUP(B29,'NOVACART DATA'!$B$2:$C$1000,2,FALSE)</f>
        <v>6</v>
      </c>
      <c r="D29" s="1">
        <v>26</v>
      </c>
      <c r="E29" s="1" t="str">
        <f>VLOOKUP(B29,'NOVACART DATA'!$B$2:$M$1001,5,FALSE)</f>
        <v>Paid Search</v>
      </c>
      <c r="F29" s="1">
        <v>1</v>
      </c>
      <c r="G29" s="1">
        <v>31.76</v>
      </c>
      <c r="H29" s="1">
        <v>10</v>
      </c>
      <c r="I29" s="17">
        <f t="shared" si="0"/>
        <v>28.584000000000003</v>
      </c>
      <c r="J29" s="1">
        <f>VLOOKUP(B29,'NOVACART DATA'!$B$2:$N$1001,13,FALSE)</f>
        <v>0</v>
      </c>
    </row>
    <row r="30" spans="1:10">
      <c r="A30" s="2">
        <f>VLOOKUP(B30,CHOOSE({1,2},'NOVACART DATA'!$B$2:$B$1001,'NOVACART DATA'!$A$2:$A$1001),2,FALSE)</f>
        <v>45955</v>
      </c>
      <c r="B30" s="1">
        <v>1047</v>
      </c>
      <c r="C30" s="1">
        <f>VLOOKUP(B30,'NOVACART DATA'!$B$2:$C$1000,2,FALSE)</f>
        <v>6</v>
      </c>
      <c r="D30" s="1">
        <v>15</v>
      </c>
      <c r="E30" s="1" t="str">
        <f>VLOOKUP(B30,'NOVACART DATA'!$B$2:$M$1001,5,FALSE)</f>
        <v>Paid Search</v>
      </c>
      <c r="F30" s="1">
        <v>3</v>
      </c>
      <c r="G30" s="1">
        <v>47.71</v>
      </c>
      <c r="H30" s="1">
        <v>0</v>
      </c>
      <c r="I30" s="17">
        <f t="shared" si="0"/>
        <v>143.13</v>
      </c>
      <c r="J30" s="1">
        <f>VLOOKUP(B30,'NOVACART DATA'!$B$2:$N$1001,13,FALSE)</f>
        <v>0</v>
      </c>
    </row>
    <row r="31" spans="1:10">
      <c r="A31" s="2">
        <f>VLOOKUP(B31,CHOOSE({1,2},'NOVACART DATA'!$B$2:$B$1001,'NOVACART DATA'!$A$2:$A$1001),2,FALSE)</f>
        <v>45849</v>
      </c>
      <c r="B31" s="1">
        <v>1086</v>
      </c>
      <c r="C31" s="1">
        <f>VLOOKUP(B31,'NOVACART DATA'!$B$2:$C$1000,2,FALSE)</f>
        <v>6</v>
      </c>
      <c r="D31" s="1">
        <v>23</v>
      </c>
      <c r="E31" s="1" t="str">
        <f>VLOOKUP(B31,'NOVACART DATA'!$B$2:$M$1001,5,FALSE)</f>
        <v>Paid Search</v>
      </c>
      <c r="F31" s="1">
        <v>1</v>
      </c>
      <c r="G31" s="1">
        <v>38.14</v>
      </c>
      <c r="H31" s="1">
        <v>10</v>
      </c>
      <c r="I31" s="17">
        <f t="shared" si="0"/>
        <v>34.326000000000001</v>
      </c>
      <c r="J31" s="1">
        <f>VLOOKUP(B31,'NOVACART DATA'!$B$2:$N$1001,13,FALSE)</f>
        <v>0</v>
      </c>
    </row>
    <row r="32" spans="1:10">
      <c r="A32" s="2">
        <f>VLOOKUP(B32,CHOOSE({1,2},'NOVACART DATA'!$B$2:$B$1001,'NOVACART DATA'!$A$2:$A$1001),2,FALSE)</f>
        <v>45849</v>
      </c>
      <c r="B32" s="1">
        <v>1086</v>
      </c>
      <c r="C32" s="1">
        <f>VLOOKUP(B32,'NOVACART DATA'!$B$2:$C$1000,2,FALSE)</f>
        <v>6</v>
      </c>
      <c r="D32" s="1">
        <v>13</v>
      </c>
      <c r="E32" s="1" t="str">
        <f>VLOOKUP(B32,'NOVACART DATA'!$B$2:$M$1001,5,FALSE)</f>
        <v>Paid Search</v>
      </c>
      <c r="F32" s="1">
        <v>1</v>
      </c>
      <c r="G32" s="1">
        <v>54.9</v>
      </c>
      <c r="H32" s="1">
        <v>5</v>
      </c>
      <c r="I32" s="17">
        <f t="shared" si="0"/>
        <v>52.154999999999994</v>
      </c>
      <c r="J32" s="1">
        <f>VLOOKUP(B32,'NOVACART DATA'!$B$2:$N$1001,13,FALSE)</f>
        <v>0</v>
      </c>
    </row>
    <row r="33" spans="1:10">
      <c r="A33" s="2">
        <f>VLOOKUP(B33,CHOOSE({1,2},'NOVACART DATA'!$B$2:$B$1001,'NOVACART DATA'!$A$2:$A$1001),2,FALSE)</f>
        <v>45849</v>
      </c>
      <c r="B33" s="1">
        <v>1086</v>
      </c>
      <c r="C33" s="1">
        <f>VLOOKUP(B33,'NOVACART DATA'!$B$2:$C$1000,2,FALSE)</f>
        <v>6</v>
      </c>
      <c r="D33" s="1">
        <v>33</v>
      </c>
      <c r="E33" s="1" t="str">
        <f>VLOOKUP(B33,'NOVACART DATA'!$B$2:$M$1001,5,FALSE)</f>
        <v>Paid Search</v>
      </c>
      <c r="F33" s="1">
        <v>3</v>
      </c>
      <c r="G33" s="1">
        <v>40.94</v>
      </c>
      <c r="H33" s="1">
        <v>5</v>
      </c>
      <c r="I33" s="17">
        <f t="shared" si="0"/>
        <v>116.67899999999999</v>
      </c>
      <c r="J33" s="1">
        <f>VLOOKUP(B33,'NOVACART DATA'!$B$2:$N$1001,13,FALSE)</f>
        <v>0</v>
      </c>
    </row>
    <row r="34" spans="1:10">
      <c r="A34" s="2">
        <f>VLOOKUP(B34,CHOOSE({1,2},'NOVACART DATA'!$B$2:$B$1001,'NOVACART DATA'!$A$2:$A$1001),2,FALSE)</f>
        <v>45985</v>
      </c>
      <c r="B34" s="1">
        <v>1044</v>
      </c>
      <c r="C34" s="1">
        <f>VLOOKUP(B34,'NOVACART DATA'!$B$2:$C$1000,2,FALSE)</f>
        <v>5</v>
      </c>
      <c r="D34" s="1">
        <v>12</v>
      </c>
      <c r="E34" s="1" t="str">
        <f>VLOOKUP(B34,'NOVACART DATA'!$B$2:$M$1001,5,FALSE)</f>
        <v>Email</v>
      </c>
      <c r="F34" s="1">
        <v>1</v>
      </c>
      <c r="G34" s="1">
        <v>8.4499999999999993</v>
      </c>
      <c r="H34" s="1">
        <v>10</v>
      </c>
      <c r="I34" s="17">
        <f t="shared" si="0"/>
        <v>7.6049999999999995</v>
      </c>
      <c r="J34" s="1">
        <f>VLOOKUP(B34,'NOVACART DATA'!$B$2:$N$1001,13,FALSE)</f>
        <v>0</v>
      </c>
    </row>
    <row r="35" spans="1:10">
      <c r="A35" s="2">
        <f>VLOOKUP(B35,CHOOSE({1,2},'NOVACART DATA'!$B$2:$B$1001,'NOVACART DATA'!$A$2:$A$1001),2,FALSE)</f>
        <v>45941</v>
      </c>
      <c r="B35" s="1">
        <v>1103</v>
      </c>
      <c r="C35" s="1">
        <f>VLOOKUP(B35,'NOVACART DATA'!$B$2:$C$1000,2,FALSE)</f>
        <v>6</v>
      </c>
      <c r="D35" s="1">
        <v>36</v>
      </c>
      <c r="E35" s="1" t="str">
        <f>VLOOKUP(B35,'NOVACART DATA'!$B$2:$M$1001,5,FALSE)</f>
        <v>Paid Search</v>
      </c>
      <c r="F35" s="1">
        <v>1</v>
      </c>
      <c r="G35" s="1">
        <v>23.23</v>
      </c>
      <c r="H35" s="1">
        <v>0</v>
      </c>
      <c r="I35" s="17">
        <f t="shared" si="0"/>
        <v>23.23</v>
      </c>
      <c r="J35" s="1">
        <f>VLOOKUP(B35,'NOVACART DATA'!$B$2:$N$1001,13,FALSE)</f>
        <v>0</v>
      </c>
    </row>
    <row r="36" spans="1:10">
      <c r="A36" s="2">
        <f>VLOOKUP(B36,CHOOSE({1,2},'NOVACART DATA'!$B$2:$B$1001,'NOVACART DATA'!$A$2:$A$1001),2,FALSE)</f>
        <v>45941</v>
      </c>
      <c r="B36" s="1">
        <v>1103</v>
      </c>
      <c r="C36" s="1">
        <f>VLOOKUP(B36,'NOVACART DATA'!$B$2:$C$1000,2,FALSE)</f>
        <v>6</v>
      </c>
      <c r="D36" s="1">
        <v>28</v>
      </c>
      <c r="E36" s="1" t="str">
        <f>VLOOKUP(B36,'NOVACART DATA'!$B$2:$M$1001,5,FALSE)</f>
        <v>Paid Search</v>
      </c>
      <c r="F36" s="1">
        <v>3</v>
      </c>
      <c r="G36" s="1">
        <v>21.24</v>
      </c>
      <c r="H36" s="1">
        <v>0</v>
      </c>
      <c r="I36" s="17">
        <f t="shared" si="0"/>
        <v>63.72</v>
      </c>
      <c r="J36" s="1">
        <f>VLOOKUP(B36,'NOVACART DATA'!$B$2:$N$1001,13,FALSE)</f>
        <v>0</v>
      </c>
    </row>
    <row r="37" spans="1:10">
      <c r="A37" s="2">
        <f>VLOOKUP(B37,CHOOSE({1,2},'NOVACART DATA'!$B$2:$B$1001,'NOVACART DATA'!$A$2:$A$1001),2,FALSE)</f>
        <v>45941</v>
      </c>
      <c r="B37" s="1">
        <v>1103</v>
      </c>
      <c r="C37" s="1">
        <f>VLOOKUP(B37,'NOVACART DATA'!$B$2:$C$1000,2,FALSE)</f>
        <v>6</v>
      </c>
      <c r="D37" s="1">
        <v>10</v>
      </c>
      <c r="E37" s="1" t="str">
        <f>VLOOKUP(B37,'NOVACART DATA'!$B$2:$M$1001,5,FALSE)</f>
        <v>Paid Search</v>
      </c>
      <c r="F37" s="1">
        <v>1</v>
      </c>
      <c r="G37" s="1">
        <v>62.68</v>
      </c>
      <c r="H37" s="1">
        <v>5</v>
      </c>
      <c r="I37" s="17">
        <f t="shared" si="0"/>
        <v>59.545999999999999</v>
      </c>
      <c r="J37" s="1">
        <f>VLOOKUP(B37,'NOVACART DATA'!$B$2:$N$1001,13,FALSE)</f>
        <v>0</v>
      </c>
    </row>
    <row r="38" spans="1:10">
      <c r="A38" s="2">
        <f>VLOOKUP(B38,CHOOSE({1,2},'NOVACART DATA'!$B$2:$B$1001,'NOVACART DATA'!$A$2:$A$1001),2,FALSE)</f>
        <v>45974</v>
      </c>
      <c r="B38" s="1">
        <v>1118</v>
      </c>
      <c r="C38" s="1">
        <f>VLOOKUP(B38,'NOVACART DATA'!$B$2:$C$1000,2,FALSE)</f>
        <v>6</v>
      </c>
      <c r="D38" s="1">
        <v>37</v>
      </c>
      <c r="E38" s="1" t="str">
        <f>VLOOKUP(B38,'NOVACART DATA'!$B$2:$M$1001,5,FALSE)</f>
        <v>Organic</v>
      </c>
      <c r="F38" s="1">
        <v>3</v>
      </c>
      <c r="G38" s="1">
        <v>52.67</v>
      </c>
      <c r="H38" s="1">
        <v>5</v>
      </c>
      <c r="I38" s="17">
        <f t="shared" si="0"/>
        <v>150.1095</v>
      </c>
      <c r="J38" s="1">
        <f>VLOOKUP(B38,'NOVACART DATA'!$B$2:$N$1001,13,FALSE)</f>
        <v>0</v>
      </c>
    </row>
    <row r="39" spans="1:10">
      <c r="A39" s="2">
        <f>VLOOKUP(B39,CHOOSE({1,2},'NOVACART DATA'!$B$2:$B$1001,'NOVACART DATA'!$A$2:$A$1001),2,FALSE)</f>
        <v>45988</v>
      </c>
      <c r="B39" s="1">
        <v>1184</v>
      </c>
      <c r="C39" s="1">
        <f>VLOOKUP(B39,'NOVACART DATA'!$B$2:$C$1000,2,FALSE)</f>
        <v>6</v>
      </c>
      <c r="D39" s="1">
        <v>21</v>
      </c>
      <c r="E39" s="1" t="str">
        <f>VLOOKUP(B39,'NOVACART DATA'!$B$2:$M$1001,5,FALSE)</f>
        <v>Paid Search</v>
      </c>
      <c r="F39" s="1">
        <v>1</v>
      </c>
      <c r="G39" s="1">
        <v>49.37</v>
      </c>
      <c r="H39" s="1">
        <v>10</v>
      </c>
      <c r="I39" s="17">
        <f t="shared" si="0"/>
        <v>44.433</v>
      </c>
      <c r="J39" s="1">
        <f>VLOOKUP(B39,'NOVACART DATA'!$B$2:$N$1001,13,FALSE)</f>
        <v>0</v>
      </c>
    </row>
    <row r="40" spans="1:10">
      <c r="A40" s="2">
        <f>VLOOKUP(B40,CHOOSE({1,2},'NOVACART DATA'!$B$2:$B$1001,'NOVACART DATA'!$A$2:$A$1001),2,FALSE)</f>
        <v>46004</v>
      </c>
      <c r="B40" s="1">
        <v>1270</v>
      </c>
      <c r="C40" s="1">
        <f>VLOOKUP(B40,'NOVACART DATA'!$B$2:$C$1000,2,FALSE)</f>
        <v>6</v>
      </c>
      <c r="D40" s="1">
        <v>23</v>
      </c>
      <c r="E40" s="1" t="str">
        <f>VLOOKUP(B40,'NOVACART DATA'!$B$2:$M$1001,5,FALSE)</f>
        <v>Paid Search</v>
      </c>
      <c r="F40" s="1">
        <v>2</v>
      </c>
      <c r="G40" s="1">
        <v>38.14</v>
      </c>
      <c r="H40" s="1">
        <v>10</v>
      </c>
      <c r="I40" s="17">
        <f t="shared" si="0"/>
        <v>68.652000000000001</v>
      </c>
      <c r="J40" s="1">
        <f>VLOOKUP(B40,'NOVACART DATA'!$B$2:$N$1001,13,FALSE)</f>
        <v>0</v>
      </c>
    </row>
    <row r="41" spans="1:10">
      <c r="A41" s="2">
        <f>VLOOKUP(B41,CHOOSE({1,2},'NOVACART DATA'!$B$2:$B$1001,'NOVACART DATA'!$A$2:$A$1001),2,FALSE)</f>
        <v>46004</v>
      </c>
      <c r="B41" s="1">
        <v>1270</v>
      </c>
      <c r="C41" s="1">
        <f>VLOOKUP(B41,'NOVACART DATA'!$B$2:$C$1000,2,FALSE)</f>
        <v>6</v>
      </c>
      <c r="D41" s="1">
        <v>27</v>
      </c>
      <c r="E41" s="1" t="str">
        <f>VLOOKUP(B41,'NOVACART DATA'!$B$2:$M$1001,5,FALSE)</f>
        <v>Paid Search</v>
      </c>
      <c r="F41" s="1">
        <v>1</v>
      </c>
      <c r="G41" s="1">
        <v>27.3</v>
      </c>
      <c r="H41" s="1">
        <v>0</v>
      </c>
      <c r="I41" s="17">
        <f t="shared" si="0"/>
        <v>27.3</v>
      </c>
      <c r="J41" s="1">
        <f>VLOOKUP(B41,'NOVACART DATA'!$B$2:$N$1001,13,FALSE)</f>
        <v>0</v>
      </c>
    </row>
    <row r="42" spans="1:10">
      <c r="A42" s="2">
        <f>VLOOKUP(B42,CHOOSE({1,2},'NOVACART DATA'!$B$2:$B$1001,'NOVACART DATA'!$A$2:$A$1001),2,FALSE)</f>
        <v>46004</v>
      </c>
      <c r="B42" s="1">
        <v>1270</v>
      </c>
      <c r="C42" s="1">
        <f>VLOOKUP(B42,'NOVACART DATA'!$B$2:$C$1000,2,FALSE)</f>
        <v>6</v>
      </c>
      <c r="D42" s="1">
        <v>18</v>
      </c>
      <c r="E42" s="1" t="str">
        <f>VLOOKUP(B42,'NOVACART DATA'!$B$2:$M$1001,5,FALSE)</f>
        <v>Paid Search</v>
      </c>
      <c r="F42" s="1">
        <v>1</v>
      </c>
      <c r="G42" s="1">
        <v>44.01</v>
      </c>
      <c r="H42" s="1">
        <v>0</v>
      </c>
      <c r="I42" s="17">
        <f t="shared" si="0"/>
        <v>44.01</v>
      </c>
      <c r="J42" s="1">
        <f>VLOOKUP(B42,'NOVACART DATA'!$B$2:$N$1001,13,FALSE)</f>
        <v>0</v>
      </c>
    </row>
    <row r="43" spans="1:10">
      <c r="A43" s="2">
        <f>VLOOKUP(B43,CHOOSE({1,2},'NOVACART DATA'!$B$2:$B$1001,'NOVACART DATA'!$A$2:$A$1001),2,FALSE)</f>
        <v>46040</v>
      </c>
      <c r="B43" s="1">
        <v>1411</v>
      </c>
      <c r="C43" s="1">
        <f>VLOOKUP(B43,'NOVACART DATA'!$B$2:$C$1000,2,FALSE)</f>
        <v>6</v>
      </c>
      <c r="D43" s="1">
        <v>9</v>
      </c>
      <c r="E43" s="1" t="str">
        <f>VLOOKUP(B43,'NOVACART DATA'!$B$2:$M$1001,5,FALSE)</f>
        <v>Paid Search</v>
      </c>
      <c r="F43" s="1">
        <v>1</v>
      </c>
      <c r="G43" s="1">
        <v>20.69</v>
      </c>
      <c r="H43" s="1">
        <v>10</v>
      </c>
      <c r="I43" s="17">
        <f t="shared" si="0"/>
        <v>18.621000000000002</v>
      </c>
      <c r="J43" s="1">
        <f>VLOOKUP(B43,'NOVACART DATA'!$B$2:$N$1001,13,FALSE)</f>
        <v>1</v>
      </c>
    </row>
    <row r="44" spans="1:10">
      <c r="A44" s="2">
        <f>VLOOKUP(B44,CHOOSE({1,2},'NOVACART DATA'!$B$2:$B$1001,'NOVACART DATA'!$A$2:$A$1001),2,FALSE)</f>
        <v>45951</v>
      </c>
      <c r="B44" s="1">
        <v>1037</v>
      </c>
      <c r="C44" s="1">
        <f>VLOOKUP(B44,'NOVACART DATA'!$B$2:$C$1000,2,FALSE)</f>
        <v>7</v>
      </c>
      <c r="D44" s="1">
        <v>38</v>
      </c>
      <c r="E44" s="1" t="str">
        <f>VLOOKUP(B44,'NOVACART DATA'!$B$2:$M$1001,5,FALSE)</f>
        <v>Email</v>
      </c>
      <c r="F44" s="1">
        <v>2</v>
      </c>
      <c r="G44" s="1">
        <v>25.14</v>
      </c>
      <c r="H44" s="1">
        <v>5</v>
      </c>
      <c r="I44" s="17">
        <f t="shared" si="0"/>
        <v>47.765999999999998</v>
      </c>
      <c r="J44" s="1">
        <f>VLOOKUP(B44,'NOVACART DATA'!$B$2:$N$1001,13,FALSE)</f>
        <v>0</v>
      </c>
    </row>
    <row r="45" spans="1:10">
      <c r="A45" s="2">
        <f>VLOOKUP(B45,CHOOSE({1,2},'NOVACART DATA'!$B$2:$B$1001,'NOVACART DATA'!$A$2:$A$1001),2,FALSE)</f>
        <v>45972</v>
      </c>
      <c r="B45" s="1">
        <v>1108</v>
      </c>
      <c r="C45" s="1">
        <f>VLOOKUP(B45,'NOVACART DATA'!$B$2:$C$1000,2,FALSE)</f>
        <v>7</v>
      </c>
      <c r="D45" s="1">
        <v>8</v>
      </c>
      <c r="E45" s="1" t="str">
        <f>VLOOKUP(B45,'NOVACART DATA'!$B$2:$M$1001,5,FALSE)</f>
        <v>Email</v>
      </c>
      <c r="F45" s="1">
        <v>1</v>
      </c>
      <c r="G45" s="1">
        <v>16.72</v>
      </c>
      <c r="H45" s="1">
        <v>0</v>
      </c>
      <c r="I45" s="17">
        <f t="shared" si="0"/>
        <v>16.72</v>
      </c>
      <c r="J45" s="1">
        <f>VLOOKUP(B45,'NOVACART DATA'!$B$2:$N$1001,13,FALSE)</f>
        <v>0</v>
      </c>
    </row>
    <row r="46" spans="1:10">
      <c r="A46" s="2">
        <f>VLOOKUP(B46,CHOOSE({1,2},'NOVACART DATA'!$B$2:$B$1001,'NOVACART DATA'!$A$2:$A$1001),2,FALSE)</f>
        <v>45975</v>
      </c>
      <c r="B46" s="1">
        <v>1122</v>
      </c>
      <c r="C46" s="1">
        <f>VLOOKUP(B46,'NOVACART DATA'!$B$2:$C$1000,2,FALSE)</f>
        <v>7</v>
      </c>
      <c r="D46" s="1">
        <v>5</v>
      </c>
      <c r="E46" s="1" t="str">
        <f>VLOOKUP(B46,'NOVACART DATA'!$B$2:$M$1001,5,FALSE)</f>
        <v>Email</v>
      </c>
      <c r="F46" s="1">
        <v>3</v>
      </c>
      <c r="G46" s="1">
        <v>42.53</v>
      </c>
      <c r="H46" s="1">
        <v>0</v>
      </c>
      <c r="I46" s="17">
        <f t="shared" si="0"/>
        <v>127.59</v>
      </c>
      <c r="J46" s="1">
        <f>VLOOKUP(B46,'NOVACART DATA'!$B$2:$N$1001,13,FALSE)</f>
        <v>0</v>
      </c>
    </row>
    <row r="47" spans="1:10">
      <c r="A47" s="2">
        <f>VLOOKUP(B47,CHOOSE({1,2},'NOVACART DATA'!$B$2:$B$1001,'NOVACART DATA'!$A$2:$A$1001),2,FALSE)</f>
        <v>46018</v>
      </c>
      <c r="B47" s="1">
        <v>1335</v>
      </c>
      <c r="C47" s="1">
        <f>VLOOKUP(B47,'NOVACART DATA'!$B$2:$C$1000,2,FALSE)</f>
        <v>7</v>
      </c>
      <c r="D47" s="1">
        <v>23</v>
      </c>
      <c r="E47" s="1" t="str">
        <f>VLOOKUP(B47,'NOVACART DATA'!$B$2:$M$1001,5,FALSE)</f>
        <v>Email</v>
      </c>
      <c r="F47" s="1">
        <v>1</v>
      </c>
      <c r="G47" s="1">
        <v>38.14</v>
      </c>
      <c r="H47" s="1">
        <v>5</v>
      </c>
      <c r="I47" s="17">
        <f t="shared" si="0"/>
        <v>36.232999999999997</v>
      </c>
      <c r="J47" s="1">
        <f>VLOOKUP(B47,'NOVACART DATA'!$B$2:$N$1001,13,FALSE)</f>
        <v>0</v>
      </c>
    </row>
    <row r="48" spans="1:10">
      <c r="A48" s="2">
        <f>VLOOKUP(B48,CHOOSE({1,2},'NOVACART DATA'!$B$2:$B$1001,'NOVACART DATA'!$A$2:$A$1001),2,FALSE)</f>
        <v>46018</v>
      </c>
      <c r="B48" s="1">
        <v>1335</v>
      </c>
      <c r="C48" s="1">
        <f>VLOOKUP(B48,'NOVACART DATA'!$B$2:$C$1000,2,FALSE)</f>
        <v>7</v>
      </c>
      <c r="D48" s="1">
        <v>4</v>
      </c>
      <c r="E48" s="1" t="str">
        <f>VLOOKUP(B48,'NOVACART DATA'!$B$2:$M$1001,5,FALSE)</f>
        <v>Email</v>
      </c>
      <c r="F48" s="1">
        <v>1</v>
      </c>
      <c r="G48" s="1">
        <v>34.83</v>
      </c>
      <c r="H48" s="1">
        <v>10</v>
      </c>
      <c r="I48" s="17">
        <f t="shared" si="0"/>
        <v>31.346999999999998</v>
      </c>
      <c r="J48" s="1">
        <f>VLOOKUP(B48,'NOVACART DATA'!$B$2:$N$1001,13,FALSE)</f>
        <v>0</v>
      </c>
    </row>
    <row r="49" spans="1:10">
      <c r="A49" s="2">
        <f>VLOOKUP(B49,CHOOSE({1,2},'NOVACART DATA'!$B$2:$B$1001,'NOVACART DATA'!$A$2:$A$1001),2,FALSE)</f>
        <v>46018</v>
      </c>
      <c r="B49" s="1">
        <v>1335</v>
      </c>
      <c r="C49" s="1">
        <f>VLOOKUP(B49,'NOVACART DATA'!$B$2:$C$1000,2,FALSE)</f>
        <v>7</v>
      </c>
      <c r="D49" s="1">
        <v>40</v>
      </c>
      <c r="E49" s="1" t="str">
        <f>VLOOKUP(B49,'NOVACART DATA'!$B$2:$M$1001,5,FALSE)</f>
        <v>Email</v>
      </c>
      <c r="F49" s="1">
        <v>2</v>
      </c>
      <c r="G49" s="1">
        <v>38.869999999999997</v>
      </c>
      <c r="H49" s="1">
        <v>0</v>
      </c>
      <c r="I49" s="17">
        <f t="shared" si="0"/>
        <v>77.739999999999995</v>
      </c>
      <c r="J49" s="1">
        <f>VLOOKUP(B49,'NOVACART DATA'!$B$2:$N$1001,13,FALSE)</f>
        <v>0</v>
      </c>
    </row>
    <row r="50" spans="1:10">
      <c r="A50" s="2">
        <f>VLOOKUP(B50,CHOOSE({1,2},'NOVACART DATA'!$B$2:$B$1001,'NOVACART DATA'!$A$2:$A$1001),2,FALSE)</f>
        <v>46054</v>
      </c>
      <c r="B50" s="1">
        <v>1365</v>
      </c>
      <c r="C50" s="1">
        <f>VLOOKUP(B50,'NOVACART DATA'!$B$2:$C$1000,2,FALSE)</f>
        <v>7</v>
      </c>
      <c r="D50" s="1">
        <v>24</v>
      </c>
      <c r="E50" s="1" t="str">
        <f>VLOOKUP(B50,'NOVACART DATA'!$B$2:$M$1001,5,FALSE)</f>
        <v>Email</v>
      </c>
      <c r="F50" s="1">
        <v>1</v>
      </c>
      <c r="G50" s="1">
        <v>43.42</v>
      </c>
      <c r="H50" s="1">
        <v>15</v>
      </c>
      <c r="I50" s="17">
        <f t="shared" si="0"/>
        <v>36.907000000000004</v>
      </c>
      <c r="J50" s="1">
        <f>VLOOKUP(B50,'NOVACART DATA'!$B$2:$N$1001,13,FALSE)</f>
        <v>1</v>
      </c>
    </row>
    <row r="51" spans="1:10">
      <c r="A51" s="2">
        <f>VLOOKUP(B51,CHOOSE({1,2},'NOVACART DATA'!$B$2:$B$1001,'NOVACART DATA'!$A$2:$A$1001),2,FALSE)</f>
        <v>46175</v>
      </c>
      <c r="B51" s="1">
        <v>1458</v>
      </c>
      <c r="C51" s="1">
        <f>VLOOKUP(B51,'NOVACART DATA'!$B$2:$C$1000,2,FALSE)</f>
        <v>7</v>
      </c>
      <c r="D51" s="1">
        <v>18</v>
      </c>
      <c r="E51" s="1" t="str">
        <f>VLOOKUP(B51,'NOVACART DATA'!$B$2:$M$1001,5,FALSE)</f>
        <v>Email</v>
      </c>
      <c r="F51" s="1">
        <v>2</v>
      </c>
      <c r="G51" s="1">
        <v>44.01</v>
      </c>
      <c r="H51" s="1">
        <v>0</v>
      </c>
      <c r="I51" s="17">
        <f t="shared" si="0"/>
        <v>88.02</v>
      </c>
      <c r="J51" s="1">
        <f>VLOOKUP(B51,'NOVACART DATA'!$B$2:$N$1001,13,FALSE)</f>
        <v>0</v>
      </c>
    </row>
    <row r="52" spans="1:10">
      <c r="A52" s="2">
        <f>VLOOKUP(B52,CHOOSE({1,2},'NOVACART DATA'!$B$2:$B$1001,'NOVACART DATA'!$A$2:$A$1001),2,FALSE)</f>
        <v>46175</v>
      </c>
      <c r="B52" s="1">
        <v>1458</v>
      </c>
      <c r="C52" s="1">
        <f>VLOOKUP(B52,'NOVACART DATA'!$B$2:$C$1000,2,FALSE)</f>
        <v>7</v>
      </c>
      <c r="D52" s="1">
        <v>2</v>
      </c>
      <c r="E52" s="1" t="str">
        <f>VLOOKUP(B52,'NOVACART DATA'!$B$2:$M$1001,5,FALSE)</f>
        <v>Email</v>
      </c>
      <c r="F52" s="1">
        <v>2</v>
      </c>
      <c r="G52" s="1">
        <v>64.02</v>
      </c>
      <c r="H52" s="1">
        <v>10</v>
      </c>
      <c r="I52" s="17">
        <f t="shared" si="0"/>
        <v>115.23599999999999</v>
      </c>
      <c r="J52" s="1">
        <f>VLOOKUP(B52,'NOVACART DATA'!$B$2:$N$1001,13,FALSE)</f>
        <v>0</v>
      </c>
    </row>
    <row r="53" spans="1:10">
      <c r="A53" s="2">
        <f>VLOOKUP(B53,CHOOSE({1,2},'NOVACART DATA'!$B$2:$B$1001,'NOVACART DATA'!$A$2:$A$1001),2,FALSE)</f>
        <v>46175</v>
      </c>
      <c r="B53" s="1">
        <v>1458</v>
      </c>
      <c r="C53" s="1">
        <f>VLOOKUP(B53,'NOVACART DATA'!$B$2:$C$1000,2,FALSE)</f>
        <v>7</v>
      </c>
      <c r="D53" s="1">
        <v>39</v>
      </c>
      <c r="E53" s="1" t="str">
        <f>VLOOKUP(B53,'NOVACART DATA'!$B$2:$M$1001,5,FALSE)</f>
        <v>Email</v>
      </c>
      <c r="F53" s="1">
        <v>1</v>
      </c>
      <c r="G53" s="1">
        <v>39.979999999999997</v>
      </c>
      <c r="H53" s="1">
        <v>0</v>
      </c>
      <c r="I53" s="17">
        <f t="shared" si="0"/>
        <v>39.979999999999997</v>
      </c>
      <c r="J53" s="1">
        <f>VLOOKUP(B53,'NOVACART DATA'!$B$2:$N$1001,13,FALSE)</f>
        <v>0</v>
      </c>
    </row>
    <row r="54" spans="1:10">
      <c r="A54" s="2">
        <f>VLOOKUP(B54,CHOOSE({1,2},'NOVACART DATA'!$B$2:$B$1001,'NOVACART DATA'!$A$2:$A$1001),2,FALSE)</f>
        <v>45988</v>
      </c>
      <c r="B54" s="1">
        <v>1185</v>
      </c>
      <c r="C54" s="1">
        <f>VLOOKUP(B54,'NOVACART DATA'!$B$2:$C$1000,2,FALSE)</f>
        <v>8</v>
      </c>
      <c r="D54" s="1">
        <v>37</v>
      </c>
      <c r="E54" s="1" t="str">
        <f>VLOOKUP(B54,'NOVACART DATA'!$B$2:$M$1001,5,FALSE)</f>
        <v>Organic</v>
      </c>
      <c r="F54" s="1">
        <v>1</v>
      </c>
      <c r="G54" s="1">
        <v>52.67</v>
      </c>
      <c r="H54" s="1">
        <v>10</v>
      </c>
      <c r="I54" s="17">
        <f t="shared" si="0"/>
        <v>47.403000000000006</v>
      </c>
      <c r="J54" s="1">
        <f>VLOOKUP(B54,'NOVACART DATA'!$B$2:$N$1001,13,FALSE)</f>
        <v>0</v>
      </c>
    </row>
    <row r="55" spans="1:10">
      <c r="A55" s="2">
        <f>VLOOKUP(B55,CHOOSE({1,2},'NOVACART DATA'!$B$2:$B$1001,'NOVACART DATA'!$A$2:$A$1001),2,FALSE)</f>
        <v>45988</v>
      </c>
      <c r="B55" s="1">
        <v>1185</v>
      </c>
      <c r="C55" s="1">
        <f>VLOOKUP(B55,'NOVACART DATA'!$B$2:$C$1000,2,FALSE)</f>
        <v>8</v>
      </c>
      <c r="D55" s="1">
        <v>28</v>
      </c>
      <c r="E55" s="1" t="str">
        <f>VLOOKUP(B55,'NOVACART DATA'!$B$2:$M$1001,5,FALSE)</f>
        <v>Organic</v>
      </c>
      <c r="F55" s="1">
        <v>1</v>
      </c>
      <c r="G55" s="1">
        <v>21.24</v>
      </c>
      <c r="H55" s="1">
        <v>0</v>
      </c>
      <c r="I55" s="17">
        <f t="shared" si="0"/>
        <v>21.24</v>
      </c>
      <c r="J55" s="1">
        <f>VLOOKUP(B55,'NOVACART DATA'!$B$2:$N$1001,13,FALSE)</f>
        <v>0</v>
      </c>
    </row>
    <row r="56" spans="1:10">
      <c r="A56" s="2">
        <f>VLOOKUP(B56,CHOOSE({1,2},'NOVACART DATA'!$B$2:$B$1001,'NOVACART DATA'!$A$2:$A$1001),2,FALSE)</f>
        <v>45991</v>
      </c>
      <c r="B56" s="1">
        <v>1198</v>
      </c>
      <c r="C56" s="1">
        <f>VLOOKUP(B56,'NOVACART DATA'!$B$2:$C$1000,2,FALSE)</f>
        <v>8</v>
      </c>
      <c r="D56" s="1">
        <v>24</v>
      </c>
      <c r="E56" s="1" t="str">
        <f>VLOOKUP(B56,'NOVACART DATA'!$B$2:$M$1001,5,FALSE)</f>
        <v>Organic</v>
      </c>
      <c r="F56" s="1">
        <v>2</v>
      </c>
      <c r="G56" s="1">
        <v>43.42</v>
      </c>
      <c r="H56" s="1">
        <v>0</v>
      </c>
      <c r="I56" s="17">
        <f t="shared" si="0"/>
        <v>86.84</v>
      </c>
      <c r="J56" s="1">
        <f>VLOOKUP(B56,'NOVACART DATA'!$B$2:$N$1001,13,FALSE)</f>
        <v>0</v>
      </c>
    </row>
    <row r="57" spans="1:10">
      <c r="A57" s="2">
        <f>VLOOKUP(B57,CHOOSE({1,2},'NOVACART DATA'!$B$2:$B$1001,'NOVACART DATA'!$A$2:$A$1001),2,FALSE)</f>
        <v>45991</v>
      </c>
      <c r="B57" s="1">
        <v>1198</v>
      </c>
      <c r="C57" s="1">
        <f>VLOOKUP(B57,'NOVACART DATA'!$B$2:$C$1000,2,FALSE)</f>
        <v>8</v>
      </c>
      <c r="D57" s="1">
        <v>11</v>
      </c>
      <c r="E57" s="1" t="str">
        <f>VLOOKUP(B57,'NOVACART DATA'!$B$2:$M$1001,5,FALSE)</f>
        <v>Organic</v>
      </c>
      <c r="F57" s="1">
        <v>1</v>
      </c>
      <c r="G57" s="1">
        <v>58.35</v>
      </c>
      <c r="H57" s="1">
        <v>5</v>
      </c>
      <c r="I57" s="17">
        <f t="shared" si="0"/>
        <v>55.432499999999997</v>
      </c>
      <c r="J57" s="1">
        <f>VLOOKUP(B57,'NOVACART DATA'!$B$2:$N$1001,13,FALSE)</f>
        <v>0</v>
      </c>
    </row>
    <row r="58" spans="1:10">
      <c r="A58" s="2">
        <f>VLOOKUP(B58,CHOOSE({1,2},'NOVACART DATA'!$B$2:$B$1001,'NOVACART DATA'!$A$2:$A$1001),2,FALSE)</f>
        <v>45994</v>
      </c>
      <c r="B58" s="1">
        <v>1215</v>
      </c>
      <c r="C58" s="1">
        <f>VLOOKUP(B58,'NOVACART DATA'!$B$2:$C$1000,2,FALSE)</f>
        <v>8</v>
      </c>
      <c r="D58" s="1">
        <v>11</v>
      </c>
      <c r="E58" s="1" t="str">
        <f>VLOOKUP(B58,'NOVACART DATA'!$B$2:$M$1001,5,FALSE)</f>
        <v>Organic</v>
      </c>
      <c r="F58" s="1">
        <v>2</v>
      </c>
      <c r="G58" s="1">
        <v>58.35</v>
      </c>
      <c r="H58" s="1">
        <v>10</v>
      </c>
      <c r="I58" s="17">
        <f t="shared" si="0"/>
        <v>105.03</v>
      </c>
      <c r="J58" s="1">
        <f>VLOOKUP(B58,'NOVACART DATA'!$B$2:$N$1001,13,FALSE)</f>
        <v>0</v>
      </c>
    </row>
    <row r="59" spans="1:10">
      <c r="A59" s="2">
        <f>VLOOKUP(B59,CHOOSE({1,2},'NOVACART DATA'!$B$2:$B$1001,'NOVACART DATA'!$A$2:$A$1001),2,FALSE)</f>
        <v>45820</v>
      </c>
      <c r="B59" s="1">
        <v>1229</v>
      </c>
      <c r="C59" s="1">
        <f>VLOOKUP(B59,'NOVACART DATA'!$B$2:$C$1000,2,FALSE)</f>
        <v>8</v>
      </c>
      <c r="D59" s="1">
        <v>27</v>
      </c>
      <c r="E59" s="1" t="str">
        <f>VLOOKUP(B59,'NOVACART DATA'!$B$2:$M$1001,5,FALSE)</f>
        <v>Organic</v>
      </c>
      <c r="F59" s="1">
        <v>1</v>
      </c>
      <c r="G59" s="1">
        <v>27.3</v>
      </c>
      <c r="H59" s="1">
        <v>0</v>
      </c>
      <c r="I59" s="17">
        <f t="shared" si="0"/>
        <v>27.3</v>
      </c>
      <c r="J59" s="1">
        <f>VLOOKUP(B59,'NOVACART DATA'!$B$2:$N$1001,13,FALSE)</f>
        <v>0</v>
      </c>
    </row>
    <row r="60" spans="1:10">
      <c r="A60" s="2">
        <f>VLOOKUP(B60,CHOOSE({1,2},'NOVACART DATA'!$B$2:$B$1001,'NOVACART DATA'!$A$2:$A$1001),2,FALSE)</f>
        <v>45820</v>
      </c>
      <c r="B60" s="1">
        <v>1229</v>
      </c>
      <c r="C60" s="1">
        <f>VLOOKUP(B60,'NOVACART DATA'!$B$2:$C$1000,2,FALSE)</f>
        <v>8</v>
      </c>
      <c r="D60" s="1">
        <v>28</v>
      </c>
      <c r="E60" s="1" t="str">
        <f>VLOOKUP(B60,'NOVACART DATA'!$B$2:$M$1001,5,FALSE)</f>
        <v>Organic</v>
      </c>
      <c r="F60" s="1">
        <v>2</v>
      </c>
      <c r="G60" s="1">
        <v>21.24</v>
      </c>
      <c r="H60" s="1">
        <v>0</v>
      </c>
      <c r="I60" s="17">
        <f t="shared" si="0"/>
        <v>42.48</v>
      </c>
      <c r="J60" s="1">
        <f>VLOOKUP(B60,'NOVACART DATA'!$B$2:$N$1001,13,FALSE)</f>
        <v>0</v>
      </c>
    </row>
    <row r="61" spans="1:10">
      <c r="A61" s="2">
        <f>VLOOKUP(B61,CHOOSE({1,2},'NOVACART DATA'!$B$2:$B$1001,'NOVACART DATA'!$A$2:$A$1001),2,FALSE)</f>
        <v>45820</v>
      </c>
      <c r="B61" s="1">
        <v>1229</v>
      </c>
      <c r="C61" s="1">
        <f>VLOOKUP(B61,'NOVACART DATA'!$B$2:$C$1000,2,FALSE)</f>
        <v>8</v>
      </c>
      <c r="D61" s="1">
        <v>4</v>
      </c>
      <c r="E61" s="1" t="str">
        <f>VLOOKUP(B61,'NOVACART DATA'!$B$2:$M$1001,5,FALSE)</f>
        <v>Organic</v>
      </c>
      <c r="F61" s="1">
        <v>1</v>
      </c>
      <c r="G61" s="1">
        <v>34.83</v>
      </c>
      <c r="H61" s="1">
        <v>5.5</v>
      </c>
      <c r="I61" s="17">
        <f t="shared" si="0"/>
        <v>32.914349999999999</v>
      </c>
      <c r="J61" s="1">
        <f>VLOOKUP(B61,'NOVACART DATA'!$B$2:$N$1001,13,FALSE)</f>
        <v>0</v>
      </c>
    </row>
    <row r="62" spans="1:10">
      <c r="A62" s="2">
        <f>VLOOKUP(B62,CHOOSE({1,2},'NOVACART DATA'!$B$2:$B$1001,'NOVACART DATA'!$A$2:$A$1001),2,FALSE)</f>
        <v>46016</v>
      </c>
      <c r="B62" s="1">
        <v>1478</v>
      </c>
      <c r="C62" s="1">
        <f>VLOOKUP(B62,'NOVACART DATA'!$B$2:$C$1000,2,FALSE)</f>
        <v>8</v>
      </c>
      <c r="D62" s="1">
        <v>15</v>
      </c>
      <c r="E62" s="1" t="str">
        <f>VLOOKUP(B62,'NOVACART DATA'!$B$2:$M$1001,5,FALSE)</f>
        <v>Organic</v>
      </c>
      <c r="F62" s="1">
        <v>2</v>
      </c>
      <c r="G62" s="1">
        <v>47.71</v>
      </c>
      <c r="H62" s="1">
        <v>5</v>
      </c>
      <c r="I62" s="17">
        <f t="shared" si="0"/>
        <v>90.649000000000001</v>
      </c>
      <c r="J62" s="1">
        <f>VLOOKUP(B62,'NOVACART DATA'!$B$2:$N$1001,13,FALSE)</f>
        <v>0</v>
      </c>
    </row>
    <row r="63" spans="1:10">
      <c r="A63" s="2">
        <f>VLOOKUP(B63,CHOOSE({1,2},'NOVACART DATA'!$B$2:$B$1001,'NOVACART DATA'!$A$2:$A$1001),2,FALSE)</f>
        <v>46016</v>
      </c>
      <c r="B63" s="1">
        <v>1478</v>
      </c>
      <c r="C63" s="1">
        <f>VLOOKUP(B63,'NOVACART DATA'!$B$2:$C$1000,2,FALSE)</f>
        <v>8</v>
      </c>
      <c r="D63" s="1">
        <v>11</v>
      </c>
      <c r="E63" s="1" t="str">
        <f>VLOOKUP(B63,'NOVACART DATA'!$B$2:$M$1001,5,FALSE)</f>
        <v>Organic</v>
      </c>
      <c r="F63" s="1">
        <v>1</v>
      </c>
      <c r="G63" s="1">
        <v>58.35</v>
      </c>
      <c r="H63" s="1">
        <v>0</v>
      </c>
      <c r="I63" s="17">
        <f t="shared" si="0"/>
        <v>58.35</v>
      </c>
      <c r="J63" s="1">
        <f>VLOOKUP(B63,'NOVACART DATA'!$B$2:$N$1001,13,FALSE)</f>
        <v>0</v>
      </c>
    </row>
    <row r="64" spans="1:10">
      <c r="A64" s="2">
        <f>VLOOKUP(B64,CHOOSE({1,2},'NOVACART DATA'!$B$2:$B$1001,'NOVACART DATA'!$A$2:$A$1001),2,FALSE)</f>
        <v>46067</v>
      </c>
      <c r="B64" s="1">
        <v>1485</v>
      </c>
      <c r="C64" s="1">
        <f>VLOOKUP(B64,'NOVACART DATA'!$B$2:$C$1000,2,FALSE)</f>
        <v>8</v>
      </c>
      <c r="D64" s="1">
        <v>1</v>
      </c>
      <c r="E64" s="1" t="str">
        <f>VLOOKUP(B64,'NOVACART DATA'!$B$2:$M$1001,5,FALSE)</f>
        <v>Organic</v>
      </c>
      <c r="F64" s="1">
        <v>1</v>
      </c>
      <c r="G64" s="1">
        <v>47.45</v>
      </c>
      <c r="H64" s="1">
        <v>10</v>
      </c>
      <c r="I64" s="17">
        <f t="shared" si="0"/>
        <v>42.705000000000005</v>
      </c>
      <c r="J64" s="1">
        <f>VLOOKUP(B64,'NOVACART DATA'!$B$2:$N$1001,13,FALSE)</f>
        <v>0</v>
      </c>
    </row>
    <row r="65" spans="1:10">
      <c r="A65" s="2">
        <f>VLOOKUP(B65,CHOOSE({1,2},'NOVACART DATA'!$B$2:$B$1001,'NOVACART DATA'!$A$2:$A$1001),2,FALSE)</f>
        <v>45972</v>
      </c>
      <c r="B65" s="1">
        <v>1109</v>
      </c>
      <c r="C65" s="1">
        <f>VLOOKUP(B65,'NOVACART DATA'!$B$2:$C$1000,2,FALSE)</f>
        <v>8</v>
      </c>
      <c r="D65" s="1">
        <v>8</v>
      </c>
      <c r="E65" s="1" t="str">
        <f>VLOOKUP(B65,'NOVACART DATA'!$B$2:$M$1001,5,FALSE)</f>
        <v>Organic</v>
      </c>
      <c r="F65" s="1">
        <v>3</v>
      </c>
      <c r="G65" s="1">
        <v>16.72</v>
      </c>
      <c r="H65" s="1">
        <v>25</v>
      </c>
      <c r="I65" s="17">
        <f t="shared" si="0"/>
        <v>37.619999999999997</v>
      </c>
      <c r="J65" s="1">
        <f>VLOOKUP(B65,'NOVACART DATA'!$B$2:$N$1001,13,FALSE)</f>
        <v>0</v>
      </c>
    </row>
    <row r="66" spans="1:10">
      <c r="A66" s="2">
        <f>VLOOKUP(B66,CHOOSE({1,2},'NOVACART DATA'!$B$2:$B$1001,'NOVACART DATA'!$A$2:$A$1001),2,FALSE)</f>
        <v>45948</v>
      </c>
      <c r="B66" s="1">
        <v>1022</v>
      </c>
      <c r="C66" s="1">
        <f>VLOOKUP(B66,'NOVACART DATA'!$B$2:$C$1000,2,FALSE)</f>
        <v>10</v>
      </c>
      <c r="D66" s="1">
        <v>9</v>
      </c>
      <c r="E66" s="1" t="str">
        <f>VLOOKUP(B66,'NOVACART DATA'!$B$2:$M$1001,5,FALSE)</f>
        <v>Direct</v>
      </c>
      <c r="F66" s="1">
        <v>1</v>
      </c>
      <c r="G66" s="1">
        <v>20.69</v>
      </c>
      <c r="H66" s="1">
        <v>5.5</v>
      </c>
      <c r="I66" s="17">
        <f t="shared" ref="I66:I129" si="1">F66*G66*(1-H66/100)</f>
        <v>19.552050000000001</v>
      </c>
      <c r="J66" s="1">
        <f>VLOOKUP(B66,'NOVACART DATA'!$B$2:$N$1001,13,FALSE)</f>
        <v>0</v>
      </c>
    </row>
    <row r="67" spans="1:10">
      <c r="A67" s="2">
        <f>VLOOKUP(B67,CHOOSE({1,2},'NOVACART DATA'!$B$2:$B$1001,'NOVACART DATA'!$A$2:$A$1001),2,FALSE)</f>
        <v>45985</v>
      </c>
      <c r="B67" s="1">
        <v>1044</v>
      </c>
      <c r="C67" s="1">
        <f>VLOOKUP(B67,'NOVACART DATA'!$B$2:$C$1000,2,FALSE)</f>
        <v>5</v>
      </c>
      <c r="D67" s="1">
        <v>38</v>
      </c>
      <c r="E67" s="1" t="str">
        <f>VLOOKUP(B67,'NOVACART DATA'!$B$2:$M$1001,5,FALSE)</f>
        <v>Email</v>
      </c>
      <c r="F67" s="1">
        <v>1</v>
      </c>
      <c r="G67" s="1">
        <v>25.14</v>
      </c>
      <c r="H67" s="1">
        <v>0</v>
      </c>
      <c r="I67" s="17">
        <f t="shared" si="1"/>
        <v>25.14</v>
      </c>
      <c r="J67" s="1">
        <f>VLOOKUP(B67,'NOVACART DATA'!$B$2:$N$1001,13,FALSE)</f>
        <v>0</v>
      </c>
    </row>
    <row r="68" spans="1:10">
      <c r="A68" s="2">
        <f>VLOOKUP(B68,CHOOSE({1,2},'NOVACART DATA'!$B$2:$B$1001,'NOVACART DATA'!$A$2:$A$1001),2,FALSE)</f>
        <v>45948</v>
      </c>
      <c r="B68" s="1">
        <v>1022</v>
      </c>
      <c r="C68" s="1">
        <f>VLOOKUP(B68,'NOVACART DATA'!$B$2:$C$1000,2,FALSE)</f>
        <v>10</v>
      </c>
      <c r="D68" s="1">
        <v>33</v>
      </c>
      <c r="E68" s="1" t="str">
        <f>VLOOKUP(B68,'NOVACART DATA'!$B$2:$M$1001,5,FALSE)</f>
        <v>Direct</v>
      </c>
      <c r="F68" s="1">
        <v>1</v>
      </c>
      <c r="G68" s="1">
        <v>40.94</v>
      </c>
      <c r="H68" s="1">
        <v>0</v>
      </c>
      <c r="I68" s="17">
        <f t="shared" si="1"/>
        <v>40.94</v>
      </c>
      <c r="J68" s="1">
        <f>VLOOKUP(B68,'NOVACART DATA'!$B$2:$N$1001,13,FALSE)</f>
        <v>0</v>
      </c>
    </row>
    <row r="69" spans="1:10">
      <c r="A69" s="2">
        <f>VLOOKUP(B69,CHOOSE({1,2},'NOVACART DATA'!$B$2:$B$1001,'NOVACART DATA'!$A$2:$A$1001),2,FALSE)</f>
        <v>45950</v>
      </c>
      <c r="B69" s="1">
        <v>1035</v>
      </c>
      <c r="C69" s="1">
        <f>VLOOKUP(B69,'NOVACART DATA'!$B$2:$C$1000,2,FALSE)</f>
        <v>12</v>
      </c>
      <c r="D69" s="1">
        <v>3</v>
      </c>
      <c r="E69" s="1" t="str">
        <f>VLOOKUP(B69,'NOVACART DATA'!$B$2:$M$1001,5,FALSE)</f>
        <v>Social</v>
      </c>
      <c r="F69" s="1">
        <v>1</v>
      </c>
      <c r="G69" s="1">
        <v>25.47</v>
      </c>
      <c r="H69" s="1">
        <v>0</v>
      </c>
      <c r="I69" s="17">
        <f t="shared" si="1"/>
        <v>25.47</v>
      </c>
      <c r="J69" s="1">
        <f>VLOOKUP(B69,'NOVACART DATA'!$B$2:$N$1001,13,FALSE)</f>
        <v>0</v>
      </c>
    </row>
    <row r="70" spans="1:10">
      <c r="A70" s="2">
        <f>VLOOKUP(B70,CHOOSE({1,2},'NOVACART DATA'!$B$2:$B$1001,'NOVACART DATA'!$A$2:$A$1001),2,FALSE)</f>
        <v>45985</v>
      </c>
      <c r="B70" s="1">
        <v>1044</v>
      </c>
      <c r="C70" s="1">
        <f>VLOOKUP(B70,'NOVACART DATA'!$B$2:$C$1000,2,FALSE)</f>
        <v>5</v>
      </c>
      <c r="D70" s="1">
        <v>23</v>
      </c>
      <c r="E70" s="1" t="str">
        <f>VLOOKUP(B70,'NOVACART DATA'!$B$2:$M$1001,5,FALSE)</f>
        <v>Email</v>
      </c>
      <c r="F70" s="1">
        <v>2</v>
      </c>
      <c r="G70" s="1">
        <v>38.14</v>
      </c>
      <c r="H70" s="1">
        <v>0</v>
      </c>
      <c r="I70" s="17">
        <f t="shared" si="1"/>
        <v>76.28</v>
      </c>
      <c r="J70" s="1">
        <f>VLOOKUP(B70,'NOVACART DATA'!$B$2:$N$1001,13,FALSE)</f>
        <v>0</v>
      </c>
    </row>
    <row r="71" spans="1:10">
      <c r="A71" s="2">
        <f>VLOOKUP(B71,CHOOSE({1,2},'NOVACART DATA'!$B$2:$B$1001,'NOVACART DATA'!$A$2:$A$1001),2,FALSE)</f>
        <v>45985</v>
      </c>
      <c r="B71" s="1">
        <v>1044</v>
      </c>
      <c r="C71" s="1">
        <f>VLOOKUP(B71,'NOVACART DATA'!$B$2:$C$1000,2,FALSE)</f>
        <v>5</v>
      </c>
      <c r="D71" s="1">
        <v>6</v>
      </c>
      <c r="E71" s="1" t="str">
        <f>VLOOKUP(B71,'NOVACART DATA'!$B$2:$M$1001,5,FALSE)</f>
        <v>Email</v>
      </c>
      <c r="F71" s="1">
        <v>2</v>
      </c>
      <c r="G71" s="1">
        <v>70.47</v>
      </c>
      <c r="H71" s="1">
        <v>0</v>
      </c>
      <c r="I71" s="17">
        <f t="shared" si="1"/>
        <v>140.94</v>
      </c>
      <c r="J71" s="1">
        <f>VLOOKUP(B71,'NOVACART DATA'!$B$2:$N$1001,13,FALSE)</f>
        <v>0</v>
      </c>
    </row>
    <row r="72" spans="1:10">
      <c r="A72" s="2">
        <f>VLOOKUP(B72,CHOOSE({1,2},'NOVACART DATA'!$B$2:$B$1001,'NOVACART DATA'!$A$2:$A$1001),2,FALSE)</f>
        <v>45985</v>
      </c>
      <c r="B72" s="1">
        <v>1044</v>
      </c>
      <c r="C72" s="1">
        <f>VLOOKUP(B72,'NOVACART DATA'!$B$2:$C$1000,2,FALSE)</f>
        <v>5</v>
      </c>
      <c r="D72" s="1">
        <v>6</v>
      </c>
      <c r="E72" s="1" t="str">
        <f>VLOOKUP(B72,'NOVACART DATA'!$B$2:$M$1001,5,FALSE)</f>
        <v>Email</v>
      </c>
      <c r="F72" s="1">
        <v>2</v>
      </c>
      <c r="G72" s="1">
        <v>70.47</v>
      </c>
      <c r="H72" s="1">
        <v>0</v>
      </c>
      <c r="I72" s="17">
        <f t="shared" si="1"/>
        <v>140.94</v>
      </c>
      <c r="J72" s="1">
        <f>VLOOKUP(B72,'NOVACART DATA'!$B$2:$N$1001,13,FALSE)</f>
        <v>0</v>
      </c>
    </row>
    <row r="73" spans="1:10">
      <c r="A73" s="2">
        <f>VLOOKUP(B73,CHOOSE({1,2},'NOVACART DATA'!$B$2:$B$1001,'NOVACART DATA'!$A$2:$A$1001),2,FALSE)</f>
        <v>45985</v>
      </c>
      <c r="B73" s="1">
        <v>1044</v>
      </c>
      <c r="C73" s="1">
        <f>VLOOKUP(B73,'NOVACART DATA'!$B$2:$C$1000,2,FALSE)</f>
        <v>5</v>
      </c>
      <c r="D73" s="1">
        <v>39</v>
      </c>
      <c r="E73" s="1" t="str">
        <f>VLOOKUP(B73,'NOVACART DATA'!$B$2:$M$1001,5,FALSE)</f>
        <v>Email</v>
      </c>
      <c r="F73" s="1">
        <v>1</v>
      </c>
      <c r="G73" s="1">
        <v>39.979999999999997</v>
      </c>
      <c r="H73" s="1">
        <v>0</v>
      </c>
      <c r="I73" s="17">
        <f t="shared" si="1"/>
        <v>39.979999999999997</v>
      </c>
      <c r="J73" s="1">
        <f>VLOOKUP(B73,'NOVACART DATA'!$B$2:$N$1001,13,FALSE)</f>
        <v>0</v>
      </c>
    </row>
    <row r="74" spans="1:10">
      <c r="A74" s="2">
        <f>VLOOKUP(B74,CHOOSE({1,2},'NOVACART DATA'!$B$2:$B$1001,'NOVACART DATA'!$A$2:$A$1001),2,FALSE)</f>
        <v>45960</v>
      </c>
      <c r="B74" s="1">
        <v>1054</v>
      </c>
      <c r="C74" s="1">
        <f>VLOOKUP(B74,'NOVACART DATA'!$B$2:$C$1000,2,FALSE)</f>
        <v>12</v>
      </c>
      <c r="D74" s="1">
        <v>30</v>
      </c>
      <c r="E74" s="1" t="str">
        <f>VLOOKUP(B74,'NOVACART DATA'!$B$2:$M$1001,5,FALSE)</f>
        <v>Social</v>
      </c>
      <c r="F74" s="1">
        <v>1</v>
      </c>
      <c r="G74" s="1">
        <v>41.49</v>
      </c>
      <c r="H74" s="1">
        <v>0</v>
      </c>
      <c r="I74" s="17">
        <f t="shared" si="1"/>
        <v>41.49</v>
      </c>
      <c r="J74" s="1">
        <f>VLOOKUP(B74,'NOVACART DATA'!$B$2:$N$1001,13,FALSE)</f>
        <v>0</v>
      </c>
    </row>
    <row r="75" spans="1:10">
      <c r="A75" s="2">
        <f>VLOOKUP(B75,CHOOSE({1,2},'NOVACART DATA'!$B$2:$B$1001,'NOVACART DATA'!$A$2:$A$1001),2,FALSE)</f>
        <v>45849</v>
      </c>
      <c r="B75" s="1">
        <v>1087</v>
      </c>
      <c r="C75" s="1">
        <f>VLOOKUP(B75,'NOVACART DATA'!$B$2:$C$1000,2,FALSE)</f>
        <v>12</v>
      </c>
      <c r="D75" s="1">
        <v>7</v>
      </c>
      <c r="E75" s="1" t="str">
        <f>VLOOKUP(B75,'NOVACART DATA'!$B$2:$M$1001,5,FALSE)</f>
        <v>Social</v>
      </c>
      <c r="F75" s="1">
        <v>1</v>
      </c>
      <c r="G75" s="1">
        <v>79.39</v>
      </c>
      <c r="H75" s="1">
        <v>5</v>
      </c>
      <c r="I75" s="17">
        <f t="shared" si="1"/>
        <v>75.420500000000004</v>
      </c>
      <c r="J75" s="1">
        <f>VLOOKUP(B75,'NOVACART DATA'!$B$2:$N$1001,13,FALSE)</f>
        <v>0</v>
      </c>
    </row>
    <row r="76" spans="1:10">
      <c r="A76" s="2">
        <f>VLOOKUP(B76,CHOOSE({1,2},'NOVACART DATA'!$B$2:$B$1001,'NOVACART DATA'!$A$2:$A$1001),2,FALSE)</f>
        <v>45985</v>
      </c>
      <c r="B76" s="1">
        <v>1044</v>
      </c>
      <c r="C76" s="1">
        <f>VLOOKUP(B76,'NOVACART DATA'!$B$2:$C$1000,2,FALSE)</f>
        <v>5</v>
      </c>
      <c r="D76" s="1">
        <v>30</v>
      </c>
      <c r="E76" s="1" t="str">
        <f>VLOOKUP(B76,'NOVACART DATA'!$B$2:$M$1001,5,FALSE)</f>
        <v>Email</v>
      </c>
      <c r="F76" s="1">
        <v>1</v>
      </c>
      <c r="G76" s="1">
        <v>41.49</v>
      </c>
      <c r="H76" s="1">
        <v>10</v>
      </c>
      <c r="I76" s="17">
        <f t="shared" si="1"/>
        <v>37.341000000000001</v>
      </c>
      <c r="J76" s="1">
        <f>VLOOKUP(B76,'NOVACART DATA'!$B$2:$N$1001,13,FALSE)</f>
        <v>0</v>
      </c>
    </row>
    <row r="77" spans="1:10">
      <c r="A77" s="2">
        <f>VLOOKUP(B77,CHOOSE({1,2},'NOVACART DATA'!$B$2:$B$1001,'NOVACART DATA'!$A$2:$A$1001),2,FALSE)</f>
        <v>45980</v>
      </c>
      <c r="B77" s="1">
        <v>1149</v>
      </c>
      <c r="C77" s="1">
        <f>VLOOKUP(B77,'NOVACART DATA'!$B$2:$C$1000,2,FALSE)</f>
        <v>12</v>
      </c>
      <c r="D77" s="1">
        <v>32</v>
      </c>
      <c r="E77" s="1" t="str">
        <f>VLOOKUP(B77,'NOVACART DATA'!$B$2:$M$1001,5,FALSE)</f>
        <v>Social</v>
      </c>
      <c r="F77" s="1">
        <v>1</v>
      </c>
      <c r="G77" s="1">
        <v>61.06</v>
      </c>
      <c r="H77" s="1">
        <v>10</v>
      </c>
      <c r="I77" s="17">
        <f t="shared" si="1"/>
        <v>54.954000000000001</v>
      </c>
      <c r="J77" s="1">
        <f>VLOOKUP(B77,'NOVACART DATA'!$B$2:$N$1001,13,FALSE)</f>
        <v>0</v>
      </c>
    </row>
    <row r="78" spans="1:10">
      <c r="A78" s="2">
        <f>VLOOKUP(B78,CHOOSE({1,2},'NOVACART DATA'!$B$2:$B$1001,'NOVACART DATA'!$A$2:$A$1001),2,FALSE)</f>
        <v>45980</v>
      </c>
      <c r="B78" s="1">
        <v>1149</v>
      </c>
      <c r="C78" s="1">
        <f>VLOOKUP(B78,'NOVACART DATA'!$B$2:$C$1000,2,FALSE)</f>
        <v>12</v>
      </c>
      <c r="D78" s="1">
        <v>39</v>
      </c>
      <c r="E78" s="1" t="str">
        <f>VLOOKUP(B78,'NOVACART DATA'!$B$2:$M$1001,5,FALSE)</f>
        <v>Social</v>
      </c>
      <c r="F78" s="1">
        <v>1</v>
      </c>
      <c r="G78" s="1">
        <v>39.979999999999997</v>
      </c>
      <c r="H78" s="1">
        <v>0</v>
      </c>
      <c r="I78" s="17">
        <f t="shared" si="1"/>
        <v>39.979999999999997</v>
      </c>
      <c r="J78" s="1">
        <f>VLOOKUP(B78,'NOVACART DATA'!$B$2:$N$1001,13,FALSE)</f>
        <v>0</v>
      </c>
    </row>
    <row r="79" spans="1:10">
      <c r="A79" s="2">
        <f>VLOOKUP(B79,CHOOSE({1,2},'NOVACART DATA'!$B$2:$B$1001,'NOVACART DATA'!$A$2:$A$1001),2,FALSE)</f>
        <v>45850</v>
      </c>
      <c r="B79" s="1">
        <v>1234</v>
      </c>
      <c r="C79" s="1">
        <f>VLOOKUP(B79,'NOVACART DATA'!$B$2:$C$1000,2,FALSE)</f>
        <v>12</v>
      </c>
      <c r="D79" s="1">
        <v>16</v>
      </c>
      <c r="E79" s="1" t="str">
        <f>VLOOKUP(B79,'NOVACART DATA'!$B$2:$M$1001,5,FALSE)</f>
        <v>Social</v>
      </c>
      <c r="F79" s="1">
        <v>2</v>
      </c>
      <c r="G79" s="1">
        <v>11.81</v>
      </c>
      <c r="H79" s="1">
        <v>15</v>
      </c>
      <c r="I79" s="17">
        <f t="shared" si="1"/>
        <v>20.077000000000002</v>
      </c>
      <c r="J79" s="1">
        <f>VLOOKUP(B79,'NOVACART DATA'!$B$2:$N$1001,13,FALSE)</f>
        <v>0</v>
      </c>
    </row>
    <row r="80" spans="1:10">
      <c r="A80" s="2">
        <f>VLOOKUP(B80,CHOOSE({1,2},'NOVACART DATA'!$B$2:$B$1001,'NOVACART DATA'!$A$2:$A$1001),2,FALSE)</f>
        <v>45942</v>
      </c>
      <c r="B80" s="1">
        <v>1246</v>
      </c>
      <c r="C80" s="1">
        <f>VLOOKUP(B80,'NOVACART DATA'!$B$2:$C$1000,2,FALSE)</f>
        <v>12</v>
      </c>
      <c r="D80" s="1">
        <v>34</v>
      </c>
      <c r="E80" s="1" t="str">
        <f>VLOOKUP(B80,'NOVACART DATA'!$B$2:$M$1001,5,FALSE)</f>
        <v>Social</v>
      </c>
      <c r="F80" s="1">
        <v>2</v>
      </c>
      <c r="G80" s="1">
        <v>58.26</v>
      </c>
      <c r="H80" s="1">
        <v>0</v>
      </c>
      <c r="I80" s="17">
        <f t="shared" si="1"/>
        <v>116.52</v>
      </c>
      <c r="J80" s="1">
        <f>VLOOKUP(B80,'NOVACART DATA'!$B$2:$N$1001,13,FALSE)</f>
        <v>0</v>
      </c>
    </row>
    <row r="81" spans="1:10">
      <c r="A81" s="2">
        <f>VLOOKUP(B81,CHOOSE({1,2},'NOVACART DATA'!$B$2:$B$1001,'NOVACART DATA'!$A$2:$A$1001),2,FALSE)</f>
        <v>45942</v>
      </c>
      <c r="B81" s="1">
        <v>1246</v>
      </c>
      <c r="C81" s="1">
        <f>VLOOKUP(B81,'NOVACART DATA'!$B$2:$C$1000,2,FALSE)</f>
        <v>12</v>
      </c>
      <c r="D81" s="1">
        <v>6</v>
      </c>
      <c r="E81" s="1" t="str">
        <f>VLOOKUP(B81,'NOVACART DATA'!$B$2:$M$1001,5,FALSE)</f>
        <v>Social</v>
      </c>
      <c r="F81" s="1">
        <v>1</v>
      </c>
      <c r="G81" s="1">
        <v>70.47</v>
      </c>
      <c r="H81" s="1">
        <v>5</v>
      </c>
      <c r="I81" s="17">
        <f t="shared" si="1"/>
        <v>66.9465</v>
      </c>
      <c r="J81" s="1">
        <f>VLOOKUP(B81,'NOVACART DATA'!$B$2:$N$1001,13,FALSE)</f>
        <v>0</v>
      </c>
    </row>
    <row r="82" spans="1:10">
      <c r="A82" s="2">
        <f>VLOOKUP(B82,CHOOSE({1,2},'NOVACART DATA'!$B$2:$B$1001,'NOVACART DATA'!$A$2:$A$1001),2,FALSE)</f>
        <v>46005</v>
      </c>
      <c r="B82" s="1">
        <v>1275</v>
      </c>
      <c r="C82" s="1">
        <f>VLOOKUP(B82,'NOVACART DATA'!$B$2:$C$1000,2,FALSE)</f>
        <v>12</v>
      </c>
      <c r="D82" s="1">
        <v>1</v>
      </c>
      <c r="E82" s="1" t="str">
        <f>VLOOKUP(B82,'NOVACART DATA'!$B$2:$M$1001,5,FALSE)</f>
        <v>Social</v>
      </c>
      <c r="F82" s="1">
        <v>1</v>
      </c>
      <c r="G82" s="1">
        <v>47.45</v>
      </c>
      <c r="H82" s="1">
        <v>0</v>
      </c>
      <c r="I82" s="17">
        <f t="shared" si="1"/>
        <v>47.45</v>
      </c>
      <c r="J82" s="1">
        <f>VLOOKUP(B82,'NOVACART DATA'!$B$2:$N$1001,13,FALSE)</f>
        <v>0</v>
      </c>
    </row>
    <row r="83" spans="1:10">
      <c r="A83" s="2">
        <f>VLOOKUP(B83,CHOOSE({1,2},'NOVACART DATA'!$B$2:$B$1001,'NOVACART DATA'!$A$2:$A$1001),2,FALSE)</f>
        <v>46005</v>
      </c>
      <c r="B83" s="1">
        <v>1275</v>
      </c>
      <c r="C83" s="1">
        <f>VLOOKUP(B83,'NOVACART DATA'!$B$2:$C$1000,2,FALSE)</f>
        <v>12</v>
      </c>
      <c r="D83" s="1">
        <v>2</v>
      </c>
      <c r="E83" s="1" t="str">
        <f>VLOOKUP(B83,'NOVACART DATA'!$B$2:$M$1001,5,FALSE)</f>
        <v>Social</v>
      </c>
      <c r="F83" s="1">
        <v>1</v>
      </c>
      <c r="G83" s="1">
        <v>64.02</v>
      </c>
      <c r="H83" s="1">
        <v>0</v>
      </c>
      <c r="I83" s="17">
        <f t="shared" si="1"/>
        <v>64.02</v>
      </c>
      <c r="J83" s="1">
        <f>VLOOKUP(B83,'NOVACART DATA'!$B$2:$N$1001,13,FALSE)</f>
        <v>0</v>
      </c>
    </row>
    <row r="84" spans="1:10">
      <c r="A84" s="2">
        <f>VLOOKUP(B84,CHOOSE({1,2},'NOVACART DATA'!$B$2:$B$1001,'NOVACART DATA'!$A$2:$A$1001),2,FALSE)</f>
        <v>46010</v>
      </c>
      <c r="B84" s="1">
        <v>1296</v>
      </c>
      <c r="C84" s="1">
        <f>VLOOKUP(B84,'NOVACART DATA'!$B$2:$C$1000,2,FALSE)</f>
        <v>12</v>
      </c>
      <c r="D84" s="1">
        <v>21</v>
      </c>
      <c r="E84" s="1" t="str">
        <f>VLOOKUP(B84,'NOVACART DATA'!$B$2:$M$1001,5,FALSE)</f>
        <v>Social</v>
      </c>
      <c r="F84" s="1">
        <v>1</v>
      </c>
      <c r="G84" s="1">
        <v>49.37</v>
      </c>
      <c r="H84" s="1">
        <v>0</v>
      </c>
      <c r="I84" s="17">
        <f t="shared" si="1"/>
        <v>49.37</v>
      </c>
      <c r="J84" s="1">
        <f>VLOOKUP(B84,'NOVACART DATA'!$B$2:$N$1001,13,FALSE)</f>
        <v>0</v>
      </c>
    </row>
    <row r="85" spans="1:10">
      <c r="A85" s="2">
        <f>VLOOKUP(B85,CHOOSE({1,2},'NOVACART DATA'!$B$2:$B$1001,'NOVACART DATA'!$A$2:$A$1001),2,FALSE)</f>
        <v>46013</v>
      </c>
      <c r="B85" s="1">
        <v>1306</v>
      </c>
      <c r="C85" s="1">
        <f>VLOOKUP(B85,'NOVACART DATA'!$B$2:$C$1000,2,FALSE)</f>
        <v>12</v>
      </c>
      <c r="D85" s="1">
        <v>6</v>
      </c>
      <c r="E85" s="1" t="str">
        <f>VLOOKUP(B85,'NOVACART DATA'!$B$2:$M$1001,5,FALSE)</f>
        <v>Social</v>
      </c>
      <c r="F85" s="1">
        <v>2</v>
      </c>
      <c r="G85" s="1">
        <v>70.47</v>
      </c>
      <c r="H85" s="1">
        <v>0</v>
      </c>
      <c r="I85" s="17">
        <f t="shared" si="1"/>
        <v>140.94</v>
      </c>
      <c r="J85" s="1">
        <f>VLOOKUP(B85,'NOVACART DATA'!$B$2:$N$1001,13,FALSE)</f>
        <v>0</v>
      </c>
    </row>
    <row r="86" spans="1:10">
      <c r="A86" s="2">
        <f>VLOOKUP(B86,CHOOSE({1,2},'NOVACART DATA'!$B$2:$B$1001,'NOVACART DATA'!$A$2:$A$1001),2,FALSE)</f>
        <v>46020</v>
      </c>
      <c r="B86" s="1">
        <v>1347</v>
      </c>
      <c r="C86" s="1">
        <f>VLOOKUP(B86,'NOVACART DATA'!$B$2:$C$1000,2,FALSE)</f>
        <v>12</v>
      </c>
      <c r="D86" s="1">
        <v>4</v>
      </c>
      <c r="E86" s="1" t="str">
        <f>VLOOKUP(B86,'NOVACART DATA'!$B$2:$M$1001,5,FALSE)</f>
        <v>Social</v>
      </c>
      <c r="F86" s="1">
        <v>3</v>
      </c>
      <c r="G86" s="1">
        <v>34.83</v>
      </c>
      <c r="H86" s="1">
        <v>10</v>
      </c>
      <c r="I86" s="17">
        <f t="shared" si="1"/>
        <v>94.040999999999997</v>
      </c>
      <c r="J86" s="1">
        <f>VLOOKUP(B86,'NOVACART DATA'!$B$2:$N$1001,13,FALSE)</f>
        <v>1</v>
      </c>
    </row>
    <row r="87" spans="1:10">
      <c r="A87" s="2">
        <f>VLOOKUP(B87,CHOOSE({1,2},'NOVACART DATA'!$B$2:$B$1001,'NOVACART DATA'!$A$2:$A$1001),2,FALSE)</f>
        <v>46020</v>
      </c>
      <c r="B87" s="1">
        <v>1347</v>
      </c>
      <c r="C87" s="1">
        <f>VLOOKUP(B87,'NOVACART DATA'!$B$2:$C$1000,2,FALSE)</f>
        <v>12</v>
      </c>
      <c r="D87" s="1">
        <v>21</v>
      </c>
      <c r="E87" s="1" t="str">
        <f>VLOOKUP(B87,'NOVACART DATA'!$B$2:$M$1001,5,FALSE)</f>
        <v>Social</v>
      </c>
      <c r="F87" s="1">
        <v>1</v>
      </c>
      <c r="G87" s="1">
        <v>49.37</v>
      </c>
      <c r="H87" s="1">
        <v>0</v>
      </c>
      <c r="I87" s="17">
        <f t="shared" si="1"/>
        <v>49.37</v>
      </c>
      <c r="J87" s="1">
        <f>VLOOKUP(B87,'NOVACART DATA'!$B$2:$N$1001,13,FALSE)</f>
        <v>1</v>
      </c>
    </row>
    <row r="88" spans="1:10">
      <c r="A88" s="2">
        <f>VLOOKUP(B88,CHOOSE({1,2},'NOVACART DATA'!$B$2:$B$1001,'NOVACART DATA'!$A$2:$A$1001),2,FALSE)</f>
        <v>46020</v>
      </c>
      <c r="B88" s="1">
        <v>1347</v>
      </c>
      <c r="C88" s="1">
        <f>VLOOKUP(B88,'NOVACART DATA'!$B$2:$C$1000,2,FALSE)</f>
        <v>12</v>
      </c>
      <c r="D88" s="1">
        <v>40</v>
      </c>
      <c r="E88" s="1" t="str">
        <f>VLOOKUP(B88,'NOVACART DATA'!$B$2:$M$1001,5,FALSE)</f>
        <v>Social</v>
      </c>
      <c r="F88" s="1">
        <v>3</v>
      </c>
      <c r="G88" s="1">
        <v>47.25</v>
      </c>
      <c r="H88" s="1">
        <v>5.5</v>
      </c>
      <c r="I88" s="17">
        <f t="shared" si="1"/>
        <v>133.95374999999999</v>
      </c>
      <c r="J88" s="1">
        <f>VLOOKUP(B88,'NOVACART DATA'!$B$2:$N$1001,13,FALSE)</f>
        <v>1</v>
      </c>
    </row>
    <row r="89" spans="1:10">
      <c r="A89" s="2">
        <f>VLOOKUP(B89,CHOOSE({1,2},'NOVACART DATA'!$B$2:$B$1001,'NOVACART DATA'!$A$2:$A$1001),2,FALSE)</f>
        <v>46021</v>
      </c>
      <c r="B89" s="1">
        <v>1358</v>
      </c>
      <c r="C89" s="1">
        <f>VLOOKUP(B89,'NOVACART DATA'!$B$2:$C$1000,2,FALSE)</f>
        <v>12</v>
      </c>
      <c r="D89" s="1">
        <v>25</v>
      </c>
      <c r="E89" s="1" t="str">
        <f>VLOOKUP(B89,'NOVACART DATA'!$B$2:$M$1001,5,FALSE)</f>
        <v>Social</v>
      </c>
      <c r="F89" s="1">
        <v>1</v>
      </c>
      <c r="G89" s="1">
        <v>17.78</v>
      </c>
      <c r="H89" s="1">
        <v>20</v>
      </c>
      <c r="I89" s="17">
        <f t="shared" si="1"/>
        <v>14.224000000000002</v>
      </c>
      <c r="J89" s="1">
        <f>VLOOKUP(B89,'NOVACART DATA'!$B$2:$N$1001,13,FALSE)</f>
        <v>0</v>
      </c>
    </row>
    <row r="90" spans="1:10">
      <c r="A90" s="2">
        <f>VLOOKUP(B90,CHOOSE({1,2},'NOVACART DATA'!$B$2:$B$1001,'NOVACART DATA'!$A$2:$A$1001),2,FALSE)</f>
        <v>46021</v>
      </c>
      <c r="B90" s="1">
        <v>1358</v>
      </c>
      <c r="C90" s="1">
        <f>VLOOKUP(B90,'NOVACART DATA'!$B$2:$C$1000,2,FALSE)</f>
        <v>12</v>
      </c>
      <c r="D90" s="1">
        <v>19</v>
      </c>
      <c r="E90" s="1" t="str">
        <f>VLOOKUP(B90,'NOVACART DATA'!$B$2:$M$1001,5,FALSE)</f>
        <v>Social</v>
      </c>
      <c r="F90" s="1">
        <v>3</v>
      </c>
      <c r="G90" s="1">
        <v>50.14</v>
      </c>
      <c r="H90" s="1">
        <v>10</v>
      </c>
      <c r="I90" s="17">
        <f t="shared" si="1"/>
        <v>135.37800000000001</v>
      </c>
      <c r="J90" s="1">
        <f>VLOOKUP(B90,'NOVACART DATA'!$B$2:$N$1001,13,FALSE)</f>
        <v>0</v>
      </c>
    </row>
    <row r="91" spans="1:10">
      <c r="A91" s="2">
        <f>VLOOKUP(B91,CHOOSE({1,2},'NOVACART DATA'!$B$2:$B$1001,'NOVACART DATA'!$A$2:$A$1001),2,FALSE)</f>
        <v>46143</v>
      </c>
      <c r="B91" s="1">
        <v>1372</v>
      </c>
      <c r="C91" s="1">
        <f>VLOOKUP(B91,'NOVACART DATA'!$B$2:$C$1000,2,FALSE)</f>
        <v>12</v>
      </c>
      <c r="D91" s="1">
        <v>5</v>
      </c>
      <c r="E91" s="1" t="str">
        <f>VLOOKUP(B91,'NOVACART DATA'!$B$2:$M$1001,5,FALSE)</f>
        <v>Social</v>
      </c>
      <c r="F91" s="1">
        <v>1</v>
      </c>
      <c r="G91" s="1">
        <v>42.53</v>
      </c>
      <c r="H91" s="1">
        <v>25</v>
      </c>
      <c r="I91" s="17">
        <f t="shared" si="1"/>
        <v>31.897500000000001</v>
      </c>
      <c r="J91" s="1">
        <f>VLOOKUP(B91,'NOVACART DATA'!$B$2:$N$1001,13,FALSE)</f>
        <v>0</v>
      </c>
    </row>
    <row r="92" spans="1:10">
      <c r="A92" s="2">
        <f>VLOOKUP(B92,CHOOSE({1,2},'NOVACART DATA'!$B$2:$B$1001,'NOVACART DATA'!$A$2:$A$1001),2,FALSE)</f>
        <v>46235</v>
      </c>
      <c r="B92" s="1">
        <v>1378</v>
      </c>
      <c r="C92" s="1">
        <f>VLOOKUP(B92,'NOVACART DATA'!$B$2:$C$1000,2,FALSE)</f>
        <v>12</v>
      </c>
      <c r="D92" s="1">
        <v>36</v>
      </c>
      <c r="E92" s="1" t="str">
        <f>VLOOKUP(B92,'NOVACART DATA'!$B$2:$M$1001,5,FALSE)</f>
        <v>Social</v>
      </c>
      <c r="F92" s="1">
        <v>1</v>
      </c>
      <c r="G92" s="1">
        <v>23.23</v>
      </c>
      <c r="H92" s="1">
        <v>0</v>
      </c>
      <c r="I92" s="17">
        <f t="shared" si="1"/>
        <v>23.23</v>
      </c>
      <c r="J92" s="1">
        <f>VLOOKUP(B92,'NOVACART DATA'!$B$2:$N$1001,13,FALSE)</f>
        <v>0</v>
      </c>
    </row>
    <row r="93" spans="1:10">
      <c r="A93" s="2">
        <f>VLOOKUP(B93,CHOOSE({1,2},'NOVACART DATA'!$B$2:$B$1001,'NOVACART DATA'!$A$2:$A$1001),2,FALSE)</f>
        <v>46072</v>
      </c>
      <c r="B93" s="1">
        <v>1500</v>
      </c>
      <c r="C93" s="1">
        <f>VLOOKUP(B93,'NOVACART DATA'!$B$2:$C$1000,2,FALSE)</f>
        <v>12</v>
      </c>
      <c r="D93" s="1">
        <v>9</v>
      </c>
      <c r="E93" s="1" t="str">
        <f>VLOOKUP(B93,'NOVACART DATA'!$B$2:$M$1001,5,FALSE)</f>
        <v>Social</v>
      </c>
      <c r="F93" s="1">
        <v>1</v>
      </c>
      <c r="G93" s="1">
        <v>38.869999999999997</v>
      </c>
      <c r="H93" s="1">
        <v>0</v>
      </c>
      <c r="I93" s="17">
        <f t="shared" si="1"/>
        <v>38.869999999999997</v>
      </c>
      <c r="J93" s="1">
        <f>VLOOKUP(B93,'NOVACART DATA'!$B$2:$N$1001,13,FALSE)</f>
        <v>0</v>
      </c>
    </row>
    <row r="94" spans="1:10">
      <c r="A94" s="2">
        <f>VLOOKUP(B94,CHOOSE({1,2},'NOVACART DATA'!$B$2:$B$1001,'NOVACART DATA'!$A$2:$A$1001),2,FALSE)</f>
        <v>46072</v>
      </c>
      <c r="B94" s="1">
        <v>1500</v>
      </c>
      <c r="C94" s="1">
        <f>VLOOKUP(B94,'NOVACART DATA'!$B$2:$C$1000,2,FALSE)</f>
        <v>12</v>
      </c>
      <c r="D94" s="1">
        <v>35</v>
      </c>
      <c r="E94" s="1" t="str">
        <f>VLOOKUP(B94,'NOVACART DATA'!$B$2:$M$1001,5,FALSE)</f>
        <v>Social</v>
      </c>
      <c r="F94" s="1">
        <v>1</v>
      </c>
      <c r="G94" s="1">
        <v>11.3</v>
      </c>
      <c r="H94" s="1">
        <v>5.5</v>
      </c>
      <c r="I94" s="17">
        <f t="shared" si="1"/>
        <v>10.6785</v>
      </c>
      <c r="J94" s="1">
        <f>VLOOKUP(B94,'NOVACART DATA'!$B$2:$N$1001,13,FALSE)</f>
        <v>0</v>
      </c>
    </row>
    <row r="95" spans="1:10">
      <c r="A95" s="2">
        <f>VLOOKUP(B95,CHOOSE({1,2},'NOVACART DATA'!$B$2:$B$1001,'NOVACART DATA'!$A$2:$A$1001),2,FALSE)</f>
        <v>46077</v>
      </c>
      <c r="B95" s="1">
        <v>1527</v>
      </c>
      <c r="C95" s="1">
        <f>VLOOKUP(B95,'NOVACART DATA'!$B$2:$C$1000,2,FALSE)</f>
        <v>12</v>
      </c>
      <c r="D95" s="1">
        <v>23</v>
      </c>
      <c r="E95" s="1" t="str">
        <f>VLOOKUP(B95,'NOVACART DATA'!$B$2:$M$1001,5,FALSE)</f>
        <v>Social</v>
      </c>
      <c r="F95" s="1">
        <v>2</v>
      </c>
      <c r="G95" s="1">
        <v>38.14</v>
      </c>
      <c r="H95" s="1">
        <v>0</v>
      </c>
      <c r="I95" s="17">
        <f t="shared" si="1"/>
        <v>76.28</v>
      </c>
      <c r="J95" s="1">
        <f>VLOOKUP(B95,'NOVACART DATA'!$B$2:$N$1001,13,FALSE)</f>
        <v>0</v>
      </c>
    </row>
    <row r="96" spans="1:10">
      <c r="A96" s="2">
        <f>VLOOKUP(B96,CHOOSE({1,2},'NOVACART DATA'!$B$2:$B$1001,'NOVACART DATA'!$A$2:$A$1001),2,FALSE)</f>
        <v>46079</v>
      </c>
      <c r="B96" s="1">
        <v>1530</v>
      </c>
      <c r="C96" s="1">
        <f>VLOOKUP(B96,'NOVACART DATA'!$B$2:$C$1000,2,FALSE)</f>
        <v>12</v>
      </c>
      <c r="D96" s="1">
        <v>1</v>
      </c>
      <c r="E96" s="1" t="str">
        <f>VLOOKUP(B96,'NOVACART DATA'!$B$2:$M$1001,5,FALSE)</f>
        <v>Organic</v>
      </c>
      <c r="F96" s="1">
        <v>2</v>
      </c>
      <c r="G96" s="1">
        <v>47.45</v>
      </c>
      <c r="H96" s="1">
        <v>25</v>
      </c>
      <c r="I96" s="17">
        <f t="shared" si="1"/>
        <v>71.175000000000011</v>
      </c>
      <c r="J96" s="1">
        <f>VLOOKUP(B96,'NOVACART DATA'!$B$2:$N$1001,13,FALSE)</f>
        <v>0</v>
      </c>
    </row>
    <row r="97" spans="1:10">
      <c r="A97" s="2">
        <f>VLOOKUP(B97,CHOOSE({1,2},'NOVACART DATA'!$B$2:$B$1001,'NOVACART DATA'!$A$2:$A$1001),2,FALSE)</f>
        <v>46079</v>
      </c>
      <c r="B97" s="1">
        <v>1530</v>
      </c>
      <c r="C97" s="1">
        <f>VLOOKUP(B97,'NOVACART DATA'!$B$2:$C$1000,2,FALSE)</f>
        <v>12</v>
      </c>
      <c r="D97" s="1">
        <v>5</v>
      </c>
      <c r="E97" s="1" t="str">
        <f>VLOOKUP(B97,'NOVACART DATA'!$B$2:$M$1001,5,FALSE)</f>
        <v>Organic</v>
      </c>
      <c r="F97" s="1">
        <v>2</v>
      </c>
      <c r="G97" s="1">
        <v>42.53</v>
      </c>
      <c r="H97" s="1">
        <v>25</v>
      </c>
      <c r="I97" s="17">
        <f t="shared" si="1"/>
        <v>63.795000000000002</v>
      </c>
      <c r="J97" s="1">
        <f>VLOOKUP(B97,'NOVACART DATA'!$B$2:$N$1001,13,FALSE)</f>
        <v>0</v>
      </c>
    </row>
    <row r="98" spans="1:10">
      <c r="A98" s="2">
        <f>VLOOKUP(B98,CHOOSE({1,2},'NOVACART DATA'!$B$2:$B$1001,'NOVACART DATA'!$A$2:$A$1001),2,FALSE)</f>
        <v>46079</v>
      </c>
      <c r="B98" s="1">
        <v>1530</v>
      </c>
      <c r="C98" s="1">
        <f>VLOOKUP(B98,'NOVACART DATA'!$B$2:$C$1000,2,FALSE)</f>
        <v>12</v>
      </c>
      <c r="D98" s="1">
        <v>32</v>
      </c>
      <c r="E98" s="1" t="str">
        <f>VLOOKUP(B98,'NOVACART DATA'!$B$2:$M$1001,5,FALSE)</f>
        <v>Organic</v>
      </c>
      <c r="F98" s="1">
        <v>2</v>
      </c>
      <c r="G98" s="1">
        <v>61.06</v>
      </c>
      <c r="H98" s="1">
        <v>25</v>
      </c>
      <c r="I98" s="17">
        <f t="shared" si="1"/>
        <v>91.59</v>
      </c>
      <c r="J98" s="1">
        <f>VLOOKUP(B98,'NOVACART DATA'!$B$2:$N$1001,13,FALSE)</f>
        <v>0</v>
      </c>
    </row>
    <row r="99" spans="1:10">
      <c r="A99" s="2">
        <f>VLOOKUP(B99,CHOOSE({1,2},'NOVACART DATA'!$B$2:$B$1001,'NOVACART DATA'!$A$2:$A$1001),2,FALSE)</f>
        <v>46020</v>
      </c>
      <c r="B99" s="1">
        <v>1347</v>
      </c>
      <c r="C99" s="1">
        <f>VLOOKUP(B99,'NOVACART DATA'!$B$2:$C$1000,2,FALSE)</f>
        <v>12</v>
      </c>
      <c r="D99" s="1">
        <v>21</v>
      </c>
      <c r="E99" s="1" t="str">
        <f>VLOOKUP(B99,'NOVACART DATA'!$B$2:$M$1001,5,FALSE)</f>
        <v>Social</v>
      </c>
      <c r="F99" s="1">
        <v>1</v>
      </c>
      <c r="G99" s="1">
        <v>49.37</v>
      </c>
      <c r="H99" s="1">
        <v>0</v>
      </c>
      <c r="I99" s="17">
        <f t="shared" si="1"/>
        <v>49.37</v>
      </c>
      <c r="J99" s="1">
        <f>VLOOKUP(B99,'NOVACART DATA'!$B$2:$N$1001,13,FALSE)</f>
        <v>1</v>
      </c>
    </row>
    <row r="100" spans="1:10">
      <c r="A100" s="2">
        <f>VLOOKUP(B100,CHOOSE({1,2},'NOVACART DATA'!$B$2:$B$1001,'NOVACART DATA'!$A$2:$A$1001),2,FALSE)</f>
        <v>46235</v>
      </c>
      <c r="B100" s="1">
        <v>1379</v>
      </c>
      <c r="C100" s="1">
        <f>VLOOKUP(B100,'NOVACART DATA'!$B$2:$C$1000,2,FALSE)</f>
        <v>13</v>
      </c>
      <c r="D100" s="1">
        <v>40</v>
      </c>
      <c r="E100" s="1" t="str">
        <f>VLOOKUP(B100,'NOVACART DATA'!$B$2:$M$1001,5,FALSE)</f>
        <v>Social</v>
      </c>
      <c r="F100" s="1">
        <v>1</v>
      </c>
      <c r="G100" s="1">
        <v>47.25</v>
      </c>
      <c r="H100" s="1">
        <v>0</v>
      </c>
      <c r="I100" s="17">
        <f t="shared" si="1"/>
        <v>47.25</v>
      </c>
      <c r="J100" s="1">
        <f>VLOOKUP(B100,'NOVACART DATA'!$B$2:$N$1001,13,FALSE)</f>
        <v>0</v>
      </c>
    </row>
    <row r="101" spans="1:10">
      <c r="A101" s="2">
        <f>VLOOKUP(B101,CHOOSE({1,2},'NOVACART DATA'!$B$2:$B$1001,'NOVACART DATA'!$A$2:$A$1001),2,FALSE)</f>
        <v>46113</v>
      </c>
      <c r="B101" s="1">
        <v>1369</v>
      </c>
      <c r="C101" s="1">
        <f>VLOOKUP(B101,'NOVACART DATA'!$B$2:$C$1000,2,FALSE)</f>
        <v>14</v>
      </c>
      <c r="D101" s="1">
        <v>7</v>
      </c>
      <c r="E101" s="1" t="str">
        <f>VLOOKUP(B101,'NOVACART DATA'!$B$2:$M$1001,5,FALSE)</f>
        <v>Email</v>
      </c>
      <c r="F101" s="1">
        <v>1</v>
      </c>
      <c r="G101" s="1">
        <v>79.39</v>
      </c>
      <c r="H101" s="1">
        <v>0</v>
      </c>
      <c r="I101" s="17">
        <f t="shared" si="1"/>
        <v>79.39</v>
      </c>
      <c r="J101" s="1">
        <f>VLOOKUP(B101,'NOVACART DATA'!$B$2:$N$1001,13,FALSE)</f>
        <v>0</v>
      </c>
    </row>
    <row r="102" spans="1:10">
      <c r="A102" s="2">
        <f>VLOOKUP(B102,CHOOSE({1,2},'NOVACART DATA'!$B$2:$B$1001,'NOVACART DATA'!$A$2:$A$1001),2,FALSE)</f>
        <v>46113</v>
      </c>
      <c r="B102" s="1">
        <v>1369</v>
      </c>
      <c r="C102" s="1">
        <f>VLOOKUP(B102,'NOVACART DATA'!$B$2:$C$1000,2,FALSE)</f>
        <v>14</v>
      </c>
      <c r="D102" s="1">
        <v>8</v>
      </c>
      <c r="E102" s="1" t="str">
        <f>VLOOKUP(B102,'NOVACART DATA'!$B$2:$M$1001,5,FALSE)</f>
        <v>Email</v>
      </c>
      <c r="F102" s="1">
        <v>1</v>
      </c>
      <c r="G102" s="1">
        <v>16.72</v>
      </c>
      <c r="H102" s="1">
        <v>0</v>
      </c>
      <c r="I102" s="17">
        <f t="shared" si="1"/>
        <v>16.72</v>
      </c>
      <c r="J102" s="1">
        <f>VLOOKUP(B102,'NOVACART DATA'!$B$2:$N$1001,13,FALSE)</f>
        <v>0</v>
      </c>
    </row>
    <row r="103" spans="1:10">
      <c r="A103" s="2">
        <f>VLOOKUP(B103,CHOOSE({1,2},'NOVACART DATA'!$B$2:$B$1001,'NOVACART DATA'!$A$2:$A$1001),2,FALSE)</f>
        <v>46074</v>
      </c>
      <c r="B103" s="1">
        <v>1511</v>
      </c>
      <c r="C103" s="1">
        <f>VLOOKUP(B103,'NOVACART DATA'!$B$2:$C$1000,2,FALSE)</f>
        <v>14</v>
      </c>
      <c r="D103" s="1">
        <v>28</v>
      </c>
      <c r="E103" s="1" t="str">
        <f>VLOOKUP(B103,'NOVACART DATA'!$B$2:$M$1001,5,FALSE)</f>
        <v>Email</v>
      </c>
      <c r="F103" s="1">
        <v>2</v>
      </c>
      <c r="G103" s="1">
        <v>21.24</v>
      </c>
      <c r="H103" s="1">
        <v>0</v>
      </c>
      <c r="I103" s="17">
        <f t="shared" si="1"/>
        <v>42.48</v>
      </c>
      <c r="J103" s="1">
        <f>VLOOKUP(B103,'NOVACART DATA'!$B$2:$N$1001,13,FALSE)</f>
        <v>0</v>
      </c>
    </row>
    <row r="104" spans="1:10">
      <c r="A104" s="2">
        <f>VLOOKUP(B104,CHOOSE({1,2},'NOVACART DATA'!$B$2:$B$1001,'NOVACART DATA'!$A$2:$A$1001),2,FALSE)</f>
        <v>46074</v>
      </c>
      <c r="B104" s="1">
        <v>1511</v>
      </c>
      <c r="C104" s="1">
        <f>VLOOKUP(B104,'NOVACART DATA'!$B$2:$C$1000,2,FALSE)</f>
        <v>14</v>
      </c>
      <c r="D104" s="1">
        <v>29</v>
      </c>
      <c r="E104" s="1" t="str">
        <f>VLOOKUP(B104,'NOVACART DATA'!$B$2:$M$1001,5,FALSE)</f>
        <v>Email</v>
      </c>
      <c r="F104" s="1">
        <v>2</v>
      </c>
      <c r="G104" s="1">
        <v>45.67</v>
      </c>
      <c r="H104" s="1">
        <v>0</v>
      </c>
      <c r="I104" s="17">
        <f t="shared" si="1"/>
        <v>91.34</v>
      </c>
      <c r="J104" s="1">
        <f>VLOOKUP(B104,'NOVACART DATA'!$B$2:$N$1001,13,FALSE)</f>
        <v>0</v>
      </c>
    </row>
    <row r="105" spans="1:10">
      <c r="A105" s="2">
        <f>VLOOKUP(B105,CHOOSE({1,2},'NOVACART DATA'!$B$2:$B$1001,'NOVACART DATA'!$A$2:$A$1001),2,FALSE)</f>
        <v>46266</v>
      </c>
      <c r="B105" s="1">
        <v>1384</v>
      </c>
      <c r="C105" s="1">
        <f>VLOOKUP(B105,'NOVACART DATA'!$B$2:$C$1000,2,FALSE)</f>
        <v>14</v>
      </c>
      <c r="D105" s="1">
        <v>12</v>
      </c>
      <c r="E105" s="1" t="str">
        <f>VLOOKUP(B105,'NOVACART DATA'!$B$2:$M$1001,5,FALSE)</f>
        <v>Paid Search</v>
      </c>
      <c r="F105" s="1">
        <v>1</v>
      </c>
      <c r="G105" s="1">
        <v>8.4499999999999993</v>
      </c>
      <c r="H105" s="1">
        <v>0</v>
      </c>
      <c r="I105" s="17">
        <f t="shared" si="1"/>
        <v>8.4499999999999993</v>
      </c>
      <c r="J105" s="1">
        <f>VLOOKUP(B105,'NOVACART DATA'!$B$2:$N$1001,13,FALSE)</f>
        <v>0</v>
      </c>
    </row>
    <row r="106" spans="1:10">
      <c r="A106" s="2">
        <f>VLOOKUP(B106,CHOOSE({1,2},'NOVACART DATA'!$B$2:$B$1001,'NOVACART DATA'!$A$2:$A$1001),2,FALSE)</f>
        <v>46236</v>
      </c>
      <c r="B106" s="1">
        <v>1465</v>
      </c>
      <c r="C106" s="1">
        <f>VLOOKUP(B106,'NOVACART DATA'!$B$2:$C$1000,2,FALSE)</f>
        <v>15</v>
      </c>
      <c r="D106" s="1">
        <v>5</v>
      </c>
      <c r="E106" s="1" t="str">
        <f>VLOOKUP(B106,'NOVACART DATA'!$B$2:$M$1001,5,FALSE)</f>
        <v>Organic</v>
      </c>
      <c r="F106" s="1">
        <v>3</v>
      </c>
      <c r="G106" s="1">
        <v>42.53</v>
      </c>
      <c r="H106" s="1">
        <v>0</v>
      </c>
      <c r="I106" s="17">
        <f t="shared" si="1"/>
        <v>127.59</v>
      </c>
      <c r="J106" s="1">
        <f>VLOOKUP(B106,'NOVACART DATA'!$B$2:$N$1001,13,FALSE)</f>
        <v>0</v>
      </c>
    </row>
    <row r="107" spans="1:10">
      <c r="A107" s="2">
        <f>VLOOKUP(B107,CHOOSE({1,2},'NOVACART DATA'!$B$2:$B$1001,'NOVACART DATA'!$A$2:$A$1001),2,FALSE)</f>
        <v>46236</v>
      </c>
      <c r="B107" s="1">
        <v>1465</v>
      </c>
      <c r="C107" s="1">
        <f>VLOOKUP(B107,'NOVACART DATA'!$B$2:$C$1000,2,FALSE)</f>
        <v>15</v>
      </c>
      <c r="D107" s="1">
        <v>13</v>
      </c>
      <c r="E107" s="1" t="str">
        <f>VLOOKUP(B107,'NOVACART DATA'!$B$2:$M$1001,5,FALSE)</f>
        <v>Organic</v>
      </c>
      <c r="F107" s="1">
        <v>2</v>
      </c>
      <c r="G107" s="1">
        <v>54.9</v>
      </c>
      <c r="H107" s="1">
        <v>0</v>
      </c>
      <c r="I107" s="17">
        <f t="shared" si="1"/>
        <v>109.8</v>
      </c>
      <c r="J107" s="1">
        <f>VLOOKUP(B107,'NOVACART DATA'!$B$2:$N$1001,13,FALSE)</f>
        <v>0</v>
      </c>
    </row>
    <row r="108" spans="1:10">
      <c r="A108" s="2">
        <f>VLOOKUP(B108,CHOOSE({1,2},'NOVACART DATA'!$B$2:$B$1001,'NOVACART DATA'!$A$2:$A$1001),2,FALSE)</f>
        <v>46236</v>
      </c>
      <c r="B108" s="1">
        <v>1465</v>
      </c>
      <c r="C108" s="1">
        <f>VLOOKUP(B108,'NOVACART DATA'!$B$2:$C$1000,2,FALSE)</f>
        <v>15</v>
      </c>
      <c r="D108" s="1">
        <v>29</v>
      </c>
      <c r="E108" s="1" t="str">
        <f>VLOOKUP(B108,'NOVACART DATA'!$B$2:$M$1001,5,FALSE)</f>
        <v>Organic</v>
      </c>
      <c r="F108" s="1">
        <v>2</v>
      </c>
      <c r="G108" s="1">
        <v>45.67</v>
      </c>
      <c r="H108" s="1">
        <v>0</v>
      </c>
      <c r="I108" s="17">
        <f t="shared" si="1"/>
        <v>91.34</v>
      </c>
      <c r="J108" s="1">
        <f>VLOOKUP(B108,'NOVACART DATA'!$B$2:$N$1001,13,FALSE)</f>
        <v>0</v>
      </c>
    </row>
    <row r="109" spans="1:10">
      <c r="A109" s="2">
        <f>VLOOKUP(B109,CHOOSE({1,2},'NOVACART DATA'!$B$2:$B$1001,'NOVACART DATA'!$A$2:$A$1001),2,FALSE)</f>
        <v>45940</v>
      </c>
      <c r="B109" s="1">
        <v>1001</v>
      </c>
      <c r="C109" s="1">
        <f>VLOOKUP(B109,'NOVACART DATA'!$B$2:$C$1000,2,FALSE)</f>
        <v>16</v>
      </c>
      <c r="D109" s="1">
        <v>20</v>
      </c>
      <c r="E109" s="1" t="str">
        <f>VLOOKUP(B109,'NOVACART DATA'!$B$2:$M$1001,5,FALSE)</f>
        <v>Referral</v>
      </c>
      <c r="F109" s="1">
        <v>1</v>
      </c>
      <c r="G109" s="1">
        <v>32.76</v>
      </c>
      <c r="H109" s="1">
        <v>5.5</v>
      </c>
      <c r="I109" s="17">
        <f t="shared" si="1"/>
        <v>30.958199999999998</v>
      </c>
      <c r="J109" s="1">
        <f>VLOOKUP(B109,'NOVACART DATA'!$B$2:$N$1001,13,FALSE)</f>
        <v>0</v>
      </c>
    </row>
    <row r="110" spans="1:10">
      <c r="A110" s="2">
        <f>VLOOKUP(B110,CHOOSE({1,2},'NOVACART DATA'!$B$2:$B$1001,'NOVACART DATA'!$A$2:$A$1001),2,FALSE)</f>
        <v>45961</v>
      </c>
      <c r="B110" s="1">
        <v>1057</v>
      </c>
      <c r="C110" s="1">
        <f>VLOOKUP(B110,'NOVACART DATA'!$B$2:$C$1000,2,FALSE)</f>
        <v>16</v>
      </c>
      <c r="D110" s="1">
        <v>10</v>
      </c>
      <c r="E110" s="1" t="str">
        <f>VLOOKUP(B110,'NOVACART DATA'!$B$2:$M$1001,5,FALSE)</f>
        <v>Referral</v>
      </c>
      <c r="F110" s="1">
        <v>1</v>
      </c>
      <c r="G110" s="1">
        <v>62.68</v>
      </c>
      <c r="H110" s="1">
        <v>20</v>
      </c>
      <c r="I110" s="17">
        <f t="shared" si="1"/>
        <v>50.144000000000005</v>
      </c>
      <c r="J110" s="1">
        <f>VLOOKUP(B110,'NOVACART DATA'!$B$2:$N$1001,13,FALSE)</f>
        <v>0</v>
      </c>
    </row>
    <row r="111" spans="1:10">
      <c r="A111" s="2">
        <f>VLOOKUP(B111,CHOOSE({1,2},'NOVACART DATA'!$B$2:$B$1001,'NOVACART DATA'!$A$2:$A$1001),2,FALSE)</f>
        <v>45911</v>
      </c>
      <c r="B111" s="1">
        <v>1094</v>
      </c>
      <c r="C111" s="1">
        <f>VLOOKUP(B111,'NOVACART DATA'!$B$2:$C$1000,2,FALSE)</f>
        <v>16</v>
      </c>
      <c r="D111" s="1">
        <v>22</v>
      </c>
      <c r="E111" s="1" t="str">
        <f>VLOOKUP(B111,'NOVACART DATA'!$B$2:$M$1001,5,FALSE)</f>
        <v>Referral</v>
      </c>
      <c r="F111" s="1">
        <v>1</v>
      </c>
      <c r="G111" s="1">
        <v>29.98</v>
      </c>
      <c r="H111" s="1">
        <v>0</v>
      </c>
      <c r="I111" s="17">
        <f t="shared" si="1"/>
        <v>29.98</v>
      </c>
      <c r="J111" s="1">
        <f>VLOOKUP(B111,'NOVACART DATA'!$B$2:$N$1001,13,FALSE)</f>
        <v>0</v>
      </c>
    </row>
    <row r="112" spans="1:10">
      <c r="A112" s="2">
        <f>VLOOKUP(B112,CHOOSE({1,2},'NOVACART DATA'!$B$2:$B$1001,'NOVACART DATA'!$A$2:$A$1001),2,FALSE)</f>
        <v>45911</v>
      </c>
      <c r="B112" s="1">
        <v>1094</v>
      </c>
      <c r="C112" s="1">
        <f>VLOOKUP(B112,'NOVACART DATA'!$B$2:$C$1000,2,FALSE)</f>
        <v>16</v>
      </c>
      <c r="D112" s="1">
        <v>3</v>
      </c>
      <c r="E112" s="1" t="str">
        <f>VLOOKUP(B112,'NOVACART DATA'!$B$2:$M$1001,5,FALSE)</f>
        <v>Referral</v>
      </c>
      <c r="F112" s="1">
        <v>1</v>
      </c>
      <c r="G112" s="1">
        <v>25.47</v>
      </c>
      <c r="H112" s="1">
        <v>10</v>
      </c>
      <c r="I112" s="17">
        <f t="shared" si="1"/>
        <v>22.922999999999998</v>
      </c>
      <c r="J112" s="1">
        <f>VLOOKUP(B112,'NOVACART DATA'!$B$2:$N$1001,13,FALSE)</f>
        <v>0</v>
      </c>
    </row>
    <row r="113" spans="1:10">
      <c r="A113" s="2">
        <f>VLOOKUP(B113,CHOOSE({1,2},'NOVACART DATA'!$B$2:$B$1001,'NOVACART DATA'!$A$2:$A$1001),2,FALSE)</f>
        <v>45911</v>
      </c>
      <c r="B113" s="1">
        <v>1094</v>
      </c>
      <c r="C113" s="1">
        <f>VLOOKUP(B113,'NOVACART DATA'!$B$2:$C$1000,2,FALSE)</f>
        <v>16</v>
      </c>
      <c r="D113" s="1">
        <v>11</v>
      </c>
      <c r="E113" s="1" t="str">
        <f>VLOOKUP(B113,'NOVACART DATA'!$B$2:$M$1001,5,FALSE)</f>
        <v>Referral</v>
      </c>
      <c r="F113" s="1">
        <v>2</v>
      </c>
      <c r="G113" s="1">
        <v>58.35</v>
      </c>
      <c r="H113" s="1">
        <v>0</v>
      </c>
      <c r="I113" s="17">
        <f t="shared" si="1"/>
        <v>116.7</v>
      </c>
      <c r="J113" s="1">
        <f>VLOOKUP(B113,'NOVACART DATA'!$B$2:$N$1001,13,FALSE)</f>
        <v>0</v>
      </c>
    </row>
    <row r="114" spans="1:10">
      <c r="A114" s="2">
        <f>VLOOKUP(B114,CHOOSE({1,2},'NOVACART DATA'!$B$2:$B$1001,'NOVACART DATA'!$A$2:$A$1001),2,FALSE)</f>
        <v>45985</v>
      </c>
      <c r="B114" s="1">
        <v>1044</v>
      </c>
      <c r="C114" s="1">
        <f>VLOOKUP(B114,'NOVACART DATA'!$B$2:$C$1000,2,FALSE)</f>
        <v>5</v>
      </c>
      <c r="D114" s="1">
        <v>18</v>
      </c>
      <c r="E114" s="1" t="str">
        <f>VLOOKUP(B114,'NOVACART DATA'!$B$2:$M$1001,5,FALSE)</f>
        <v>Email</v>
      </c>
      <c r="F114" s="1">
        <v>1</v>
      </c>
      <c r="G114" s="1">
        <v>44.01</v>
      </c>
      <c r="H114" s="1">
        <v>5.5</v>
      </c>
      <c r="I114" s="17">
        <f t="shared" si="1"/>
        <v>41.589449999999999</v>
      </c>
      <c r="J114" s="1">
        <f>VLOOKUP(B114,'NOVACART DATA'!$B$2:$N$1001,13,FALSE)</f>
        <v>0</v>
      </c>
    </row>
    <row r="115" spans="1:10">
      <c r="A115" s="2">
        <f>VLOOKUP(B115,CHOOSE({1,2},'NOVACART DATA'!$B$2:$B$1001,'NOVACART DATA'!$A$2:$A$1001),2,FALSE)</f>
        <v>45982</v>
      </c>
      <c r="B115" s="1">
        <v>1157</v>
      </c>
      <c r="C115" s="1">
        <f>VLOOKUP(B115,'NOVACART DATA'!$B$2:$C$1000,2,FALSE)</f>
        <v>16</v>
      </c>
      <c r="D115" s="1">
        <v>28</v>
      </c>
      <c r="E115" s="1" t="str">
        <f>VLOOKUP(B115,'NOVACART DATA'!$B$2:$M$1001,5,FALSE)</f>
        <v>Referral</v>
      </c>
      <c r="F115" s="1">
        <v>1</v>
      </c>
      <c r="G115" s="1">
        <v>21.24</v>
      </c>
      <c r="H115" s="1">
        <v>5</v>
      </c>
      <c r="I115" s="17">
        <f t="shared" si="1"/>
        <v>20.177999999999997</v>
      </c>
      <c r="J115" s="1">
        <f>VLOOKUP(B115,'NOVACART DATA'!$B$2:$N$1001,13,FALSE)</f>
        <v>0</v>
      </c>
    </row>
    <row r="116" spans="1:10">
      <c r="A116" s="2">
        <f>VLOOKUP(B116,CHOOSE({1,2},'NOVACART DATA'!$B$2:$B$1001,'NOVACART DATA'!$A$2:$A$1001),2,FALSE)</f>
        <v>45982</v>
      </c>
      <c r="B116" s="1">
        <v>1157</v>
      </c>
      <c r="C116" s="1">
        <f>VLOOKUP(B116,'NOVACART DATA'!$B$2:$C$1000,2,FALSE)</f>
        <v>16</v>
      </c>
      <c r="D116" s="1">
        <v>37</v>
      </c>
      <c r="E116" s="1" t="str">
        <f>VLOOKUP(B116,'NOVACART DATA'!$B$2:$M$1001,5,FALSE)</f>
        <v>Referral</v>
      </c>
      <c r="F116" s="1">
        <v>1</v>
      </c>
      <c r="G116" s="1">
        <v>52.67</v>
      </c>
      <c r="H116" s="1">
        <v>10</v>
      </c>
      <c r="I116" s="17">
        <f t="shared" si="1"/>
        <v>47.403000000000006</v>
      </c>
      <c r="J116" s="1">
        <f>VLOOKUP(B116,'NOVACART DATA'!$B$2:$N$1001,13,FALSE)</f>
        <v>0</v>
      </c>
    </row>
    <row r="117" spans="1:10">
      <c r="A117" s="2">
        <f>VLOOKUP(B117,CHOOSE({1,2},'NOVACART DATA'!$B$2:$B$1001,'NOVACART DATA'!$A$2:$A$1001),2,FALSE)</f>
        <v>45982</v>
      </c>
      <c r="B117" s="1">
        <v>1157</v>
      </c>
      <c r="C117" s="1">
        <f>VLOOKUP(B117,'NOVACART DATA'!$B$2:$C$1000,2,FALSE)</f>
        <v>16</v>
      </c>
      <c r="D117" s="1">
        <v>14</v>
      </c>
      <c r="E117" s="1" t="str">
        <f>VLOOKUP(B117,'NOVACART DATA'!$B$2:$M$1001,5,FALSE)</f>
        <v>Referral</v>
      </c>
      <c r="F117" s="1">
        <v>1</v>
      </c>
      <c r="G117" s="1">
        <v>15.36</v>
      </c>
      <c r="H117" s="1">
        <v>10</v>
      </c>
      <c r="I117" s="17">
        <f t="shared" si="1"/>
        <v>13.824</v>
      </c>
      <c r="J117" s="1">
        <f>VLOOKUP(B117,'NOVACART DATA'!$B$2:$N$1001,13,FALSE)</f>
        <v>0</v>
      </c>
    </row>
    <row r="118" spans="1:10">
      <c r="A118" s="2">
        <f>VLOOKUP(B118,CHOOSE({1,2},'NOVACART DATA'!$B$2:$B$1001,'NOVACART DATA'!$A$2:$A$1001),2,FALSE)</f>
        <v>45982</v>
      </c>
      <c r="B118" s="1">
        <v>1157</v>
      </c>
      <c r="C118" s="1">
        <f>VLOOKUP(B118,'NOVACART DATA'!$B$2:$C$1000,2,FALSE)</f>
        <v>16</v>
      </c>
      <c r="D118" s="1">
        <v>40</v>
      </c>
      <c r="E118" s="1" t="str">
        <f>VLOOKUP(B118,'NOVACART DATA'!$B$2:$M$1001,5,FALSE)</f>
        <v>Referral</v>
      </c>
      <c r="F118" s="1">
        <v>1</v>
      </c>
      <c r="G118" s="1">
        <v>47.25</v>
      </c>
      <c r="H118" s="1">
        <v>10</v>
      </c>
      <c r="I118" s="17">
        <f t="shared" si="1"/>
        <v>42.524999999999999</v>
      </c>
      <c r="J118" s="1">
        <f>VLOOKUP(B118,'NOVACART DATA'!$B$2:$N$1001,13,FALSE)</f>
        <v>0</v>
      </c>
    </row>
    <row r="119" spans="1:10">
      <c r="A119" s="2">
        <f>VLOOKUP(B119,CHOOSE({1,2},'NOVACART DATA'!$B$2:$B$1001,'NOVACART DATA'!$A$2:$A$1001),2,FALSE)</f>
        <v>45912</v>
      </c>
      <c r="B119" s="1">
        <v>1242</v>
      </c>
      <c r="C119" s="1">
        <f>VLOOKUP(B119,'NOVACART DATA'!$B$2:$C$1000,2,FALSE)</f>
        <v>16</v>
      </c>
      <c r="D119" s="1">
        <v>1</v>
      </c>
      <c r="E119" s="1" t="str">
        <f>VLOOKUP(B119,'NOVACART DATA'!$B$2:$M$1001,5,FALSE)</f>
        <v>Referral</v>
      </c>
      <c r="F119" s="1">
        <v>1</v>
      </c>
      <c r="G119" s="1">
        <v>47.45</v>
      </c>
      <c r="H119" s="1">
        <v>25</v>
      </c>
      <c r="I119" s="17">
        <f t="shared" si="1"/>
        <v>35.587500000000006</v>
      </c>
      <c r="J119" s="1">
        <f>VLOOKUP(B119,'NOVACART DATA'!$B$2:$N$1001,13,FALSE)</f>
        <v>0</v>
      </c>
    </row>
    <row r="120" spans="1:10">
      <c r="A120" s="2">
        <f>VLOOKUP(B120,CHOOSE({1,2},'NOVACART DATA'!$B$2:$B$1001,'NOVACART DATA'!$A$2:$A$1001),2,FALSE)</f>
        <v>45912</v>
      </c>
      <c r="B120" s="1">
        <v>1242</v>
      </c>
      <c r="C120" s="1">
        <f>VLOOKUP(B120,'NOVACART DATA'!$B$2:$C$1000,2,FALSE)</f>
        <v>16</v>
      </c>
      <c r="D120" s="1">
        <v>8</v>
      </c>
      <c r="E120" s="1" t="str">
        <f>VLOOKUP(B120,'NOVACART DATA'!$B$2:$M$1001,5,FALSE)</f>
        <v>Referral</v>
      </c>
      <c r="F120" s="1">
        <v>1</v>
      </c>
      <c r="G120" s="1">
        <v>16.72</v>
      </c>
      <c r="H120" s="1">
        <v>25</v>
      </c>
      <c r="I120" s="17">
        <f t="shared" si="1"/>
        <v>12.54</v>
      </c>
      <c r="J120" s="1">
        <f>VLOOKUP(B120,'NOVACART DATA'!$B$2:$N$1001,13,FALSE)</f>
        <v>0</v>
      </c>
    </row>
    <row r="121" spans="1:10">
      <c r="A121" s="2">
        <f>VLOOKUP(B121,CHOOSE({1,2},'NOVACART DATA'!$B$2:$B$1001,'NOVACART DATA'!$A$2:$A$1001),2,FALSE)</f>
        <v>45912</v>
      </c>
      <c r="B121" s="1">
        <v>1242</v>
      </c>
      <c r="C121" s="1">
        <f>VLOOKUP(B121,'NOVACART DATA'!$B$2:$C$1000,2,FALSE)</f>
        <v>16</v>
      </c>
      <c r="D121" s="1">
        <v>39</v>
      </c>
      <c r="E121" s="1" t="str">
        <f>VLOOKUP(B121,'NOVACART DATA'!$B$2:$M$1001,5,FALSE)</f>
        <v>Referral</v>
      </c>
      <c r="F121" s="1">
        <v>1</v>
      </c>
      <c r="G121" s="1">
        <v>39.979999999999997</v>
      </c>
      <c r="H121" s="1">
        <v>10</v>
      </c>
      <c r="I121" s="17">
        <f t="shared" si="1"/>
        <v>35.981999999999999</v>
      </c>
      <c r="J121" s="1">
        <f>VLOOKUP(B121,'NOVACART DATA'!$B$2:$N$1001,13,FALSE)</f>
        <v>0</v>
      </c>
    </row>
    <row r="122" spans="1:10">
      <c r="A122" s="2">
        <f>VLOOKUP(B122,CHOOSE({1,2},'NOVACART DATA'!$B$2:$B$1001,'NOVACART DATA'!$A$2:$A$1001),2,FALSE)</f>
        <v>45912</v>
      </c>
      <c r="B122" s="1">
        <v>1242</v>
      </c>
      <c r="C122" s="1">
        <f>VLOOKUP(B122,'NOVACART DATA'!$B$2:$C$1000,2,FALSE)</f>
        <v>16</v>
      </c>
      <c r="D122" s="1">
        <v>11</v>
      </c>
      <c r="E122" s="1" t="str">
        <f>VLOOKUP(B122,'NOVACART DATA'!$B$2:$M$1001,5,FALSE)</f>
        <v>Referral</v>
      </c>
      <c r="F122" s="1">
        <v>1</v>
      </c>
      <c r="G122" s="1">
        <v>58.35</v>
      </c>
      <c r="H122" s="1">
        <v>10</v>
      </c>
      <c r="I122" s="17">
        <f t="shared" si="1"/>
        <v>52.515000000000001</v>
      </c>
      <c r="J122" s="1">
        <f>VLOOKUP(B122,'NOVACART DATA'!$B$2:$N$1001,13,FALSE)</f>
        <v>0</v>
      </c>
    </row>
    <row r="123" spans="1:10">
      <c r="A123" s="2">
        <f>VLOOKUP(B123,CHOOSE({1,2},'NOVACART DATA'!$B$2:$B$1001,'NOVACART DATA'!$A$2:$A$1001),2,FALSE)</f>
        <v>46009</v>
      </c>
      <c r="B123" s="1">
        <v>1292</v>
      </c>
      <c r="C123" s="1">
        <f>VLOOKUP(B123,'NOVACART DATA'!$B$2:$C$1000,2,FALSE)</f>
        <v>16</v>
      </c>
      <c r="D123" s="1">
        <v>27</v>
      </c>
      <c r="E123" s="1" t="str">
        <f>VLOOKUP(B123,'NOVACART DATA'!$B$2:$M$1001,5,FALSE)</f>
        <v>Referral</v>
      </c>
      <c r="F123" s="1">
        <v>1</v>
      </c>
      <c r="G123" s="1">
        <v>27.3</v>
      </c>
      <c r="H123" s="1">
        <v>0</v>
      </c>
      <c r="I123" s="17">
        <f t="shared" si="1"/>
        <v>27.3</v>
      </c>
      <c r="J123" s="1">
        <f>VLOOKUP(B123,'NOVACART DATA'!$B$2:$N$1001,13,FALSE)</f>
        <v>0</v>
      </c>
    </row>
    <row r="124" spans="1:10">
      <c r="A124" s="2">
        <f>VLOOKUP(B124,CHOOSE({1,2},'NOVACART DATA'!$B$2:$B$1001,'NOVACART DATA'!$A$2:$A$1001),2,FALSE)</f>
        <v>46009</v>
      </c>
      <c r="B124" s="1">
        <v>1292</v>
      </c>
      <c r="C124" s="1">
        <f>VLOOKUP(B124,'NOVACART DATA'!$B$2:$C$1000,2,FALSE)</f>
        <v>16</v>
      </c>
      <c r="D124" s="1">
        <v>4</v>
      </c>
      <c r="E124" s="1" t="str">
        <f>VLOOKUP(B124,'NOVACART DATA'!$B$2:$M$1001,5,FALSE)</f>
        <v>Referral</v>
      </c>
      <c r="F124" s="1">
        <v>1</v>
      </c>
      <c r="G124" s="1">
        <v>34.83</v>
      </c>
      <c r="H124" s="1">
        <v>5.5</v>
      </c>
      <c r="I124" s="17">
        <f t="shared" si="1"/>
        <v>32.914349999999999</v>
      </c>
      <c r="J124" s="1">
        <f>VLOOKUP(B124,'NOVACART DATA'!$B$2:$N$1001,13,FALSE)</f>
        <v>0</v>
      </c>
    </row>
    <row r="125" spans="1:10">
      <c r="A125" s="2">
        <f>VLOOKUP(B125,CHOOSE({1,2},'NOVACART DATA'!$B$2:$B$1001,'NOVACART DATA'!$A$2:$A$1001),2,FALSE)</f>
        <v>46009</v>
      </c>
      <c r="B125" s="1">
        <v>1292</v>
      </c>
      <c r="C125" s="1">
        <f>VLOOKUP(B125,'NOVACART DATA'!$B$2:$C$1000,2,FALSE)</f>
        <v>16</v>
      </c>
      <c r="D125" s="1">
        <v>18</v>
      </c>
      <c r="E125" s="1" t="str">
        <f>VLOOKUP(B125,'NOVACART DATA'!$B$2:$M$1001,5,FALSE)</f>
        <v>Referral</v>
      </c>
      <c r="F125" s="1">
        <v>1</v>
      </c>
      <c r="G125" s="1">
        <v>44.01</v>
      </c>
      <c r="H125" s="1">
        <v>0</v>
      </c>
      <c r="I125" s="17">
        <f t="shared" si="1"/>
        <v>44.01</v>
      </c>
      <c r="J125" s="1">
        <f>VLOOKUP(B125,'NOVACART DATA'!$B$2:$N$1001,13,FALSE)</f>
        <v>0</v>
      </c>
    </row>
    <row r="126" spans="1:10">
      <c r="A126" s="2">
        <f>VLOOKUP(B126,CHOOSE({1,2},'NOVACART DATA'!$B$2:$B$1001,'NOVACART DATA'!$A$2:$A$1001),2,FALSE)</f>
        <v>46357</v>
      </c>
      <c r="B126" s="1">
        <v>1394</v>
      </c>
      <c r="C126" s="1">
        <f>VLOOKUP(B126,'NOVACART DATA'!$B$2:$C$1000,2,FALSE)</f>
        <v>16</v>
      </c>
      <c r="D126" s="1">
        <v>18</v>
      </c>
      <c r="E126" s="1" t="str">
        <f>VLOOKUP(B126,'NOVACART DATA'!$B$2:$M$1001,5,FALSE)</f>
        <v>Referral</v>
      </c>
      <c r="F126" s="1">
        <v>2</v>
      </c>
      <c r="G126" s="1">
        <v>44.01</v>
      </c>
      <c r="H126" s="1">
        <v>10</v>
      </c>
      <c r="I126" s="17">
        <f t="shared" si="1"/>
        <v>79.218000000000004</v>
      </c>
      <c r="J126" s="1">
        <f>VLOOKUP(B126,'NOVACART DATA'!$B$2:$N$1001,13,FALSE)</f>
        <v>0</v>
      </c>
    </row>
    <row r="127" spans="1:10">
      <c r="A127" s="2">
        <f>VLOOKUP(B127,CHOOSE({1,2},'NOVACART DATA'!$B$2:$B$1001,'NOVACART DATA'!$A$2:$A$1001),2,FALSE)</f>
        <v>46040</v>
      </c>
      <c r="B127" s="1">
        <v>1412</v>
      </c>
      <c r="C127" s="1">
        <f>VLOOKUP(B127,'NOVACART DATA'!$B$2:$C$1000,2,FALSE)</f>
        <v>16</v>
      </c>
      <c r="D127" s="1">
        <v>35</v>
      </c>
      <c r="E127" s="1" t="str">
        <f>VLOOKUP(B127,'NOVACART DATA'!$B$2:$M$1001,5,FALSE)</f>
        <v>Referral</v>
      </c>
      <c r="F127" s="1">
        <v>1</v>
      </c>
      <c r="G127" s="1">
        <v>11.3</v>
      </c>
      <c r="H127" s="1">
        <v>5</v>
      </c>
      <c r="I127" s="17">
        <f t="shared" si="1"/>
        <v>10.734999999999999</v>
      </c>
      <c r="J127" s="1">
        <f>VLOOKUP(B127,'NOVACART DATA'!$B$2:$N$1001,13,FALSE)</f>
        <v>0</v>
      </c>
    </row>
    <row r="128" spans="1:10">
      <c r="A128" s="2">
        <f>VLOOKUP(B128,CHOOSE({1,2},'NOVACART DATA'!$B$2:$B$1001,'NOVACART DATA'!$A$2:$A$1001),2,FALSE)</f>
        <v>46040</v>
      </c>
      <c r="B128" s="1">
        <v>1412</v>
      </c>
      <c r="C128" s="1">
        <f>VLOOKUP(B128,'NOVACART DATA'!$B$2:$C$1000,2,FALSE)</f>
        <v>16</v>
      </c>
      <c r="D128" s="1">
        <v>21</v>
      </c>
      <c r="E128" s="1" t="str">
        <f>VLOOKUP(B128,'NOVACART DATA'!$B$2:$M$1001,5,FALSE)</f>
        <v>Referral</v>
      </c>
      <c r="F128" s="1">
        <v>1</v>
      </c>
      <c r="G128" s="1">
        <v>49.37</v>
      </c>
      <c r="H128" s="1">
        <v>0</v>
      </c>
      <c r="I128" s="17">
        <f t="shared" si="1"/>
        <v>49.37</v>
      </c>
      <c r="J128" s="1">
        <f>VLOOKUP(B128,'NOVACART DATA'!$B$2:$N$1001,13,FALSE)</f>
        <v>0</v>
      </c>
    </row>
    <row r="129" spans="1:10">
      <c r="A129" s="2">
        <f>VLOOKUP(B129,CHOOSE({1,2},'NOVACART DATA'!$B$2:$B$1001,'NOVACART DATA'!$A$2:$A$1001),2,FALSE)</f>
        <v>46040</v>
      </c>
      <c r="B129" s="1">
        <v>1412</v>
      </c>
      <c r="C129" s="1">
        <f>VLOOKUP(B129,'NOVACART DATA'!$B$2:$C$1000,2,FALSE)</f>
        <v>16</v>
      </c>
      <c r="D129" s="1">
        <v>4</v>
      </c>
      <c r="E129" s="1" t="str">
        <f>VLOOKUP(B129,'NOVACART DATA'!$B$2:$M$1001,5,FALSE)</f>
        <v>Referral</v>
      </c>
      <c r="F129" s="1">
        <v>3</v>
      </c>
      <c r="G129" s="1">
        <v>34.83</v>
      </c>
      <c r="H129" s="1">
        <v>10</v>
      </c>
      <c r="I129" s="17">
        <f t="shared" si="1"/>
        <v>94.040999999999997</v>
      </c>
      <c r="J129" s="1">
        <f>VLOOKUP(B129,'NOVACART DATA'!$B$2:$N$1001,13,FALSE)</f>
        <v>0</v>
      </c>
    </row>
    <row r="130" spans="1:10">
      <c r="A130" s="2">
        <f>VLOOKUP(B130,CHOOSE({1,2},'NOVACART DATA'!$B$2:$B$1001,'NOVACART DATA'!$A$2:$A$1001),2,FALSE)</f>
        <v>46040</v>
      </c>
      <c r="B130" s="1">
        <v>1412</v>
      </c>
      <c r="C130" s="1">
        <f>VLOOKUP(B130,'NOVACART DATA'!$B$2:$C$1000,2,FALSE)</f>
        <v>16</v>
      </c>
      <c r="D130" s="1">
        <v>9</v>
      </c>
      <c r="E130" s="1" t="str">
        <f>VLOOKUP(B130,'NOVACART DATA'!$B$2:$M$1001,5,FALSE)</f>
        <v>Referral</v>
      </c>
      <c r="F130" s="1">
        <v>1</v>
      </c>
      <c r="G130" s="1">
        <v>20.69</v>
      </c>
      <c r="H130" s="1">
        <v>0</v>
      </c>
      <c r="I130" s="17">
        <f t="shared" ref="I130:I193" si="2">F130*G130*(1-H130/100)</f>
        <v>20.69</v>
      </c>
      <c r="J130" s="1">
        <f>VLOOKUP(B130,'NOVACART DATA'!$B$2:$N$1001,13,FALSE)</f>
        <v>0</v>
      </c>
    </row>
    <row r="131" spans="1:10">
      <c r="A131" s="2">
        <f>VLOOKUP(B131,CHOOSE({1,2},'NOVACART DATA'!$B$2:$B$1001,'NOVACART DATA'!$A$2:$A$1001),2,FALSE)</f>
        <v>46073</v>
      </c>
      <c r="B131" s="1">
        <v>1504</v>
      </c>
      <c r="C131" s="1">
        <f>VLOOKUP(B131,'NOVACART DATA'!$B$2:$C$1000,2,FALSE)</f>
        <v>16</v>
      </c>
      <c r="D131" s="1">
        <v>25</v>
      </c>
      <c r="E131" s="1" t="str">
        <f>VLOOKUP(B131,'NOVACART DATA'!$B$2:$M$1001,5,FALSE)</f>
        <v>Referral</v>
      </c>
      <c r="F131" s="1">
        <v>1</v>
      </c>
      <c r="G131" s="1">
        <v>17.78</v>
      </c>
      <c r="H131" s="1">
        <v>5</v>
      </c>
      <c r="I131" s="17">
        <f t="shared" si="2"/>
        <v>16.891000000000002</v>
      </c>
      <c r="J131" s="1">
        <f>VLOOKUP(B131,'NOVACART DATA'!$B$2:$N$1001,13,FALSE)</f>
        <v>0</v>
      </c>
    </row>
    <row r="132" spans="1:10">
      <c r="A132" s="2">
        <f>VLOOKUP(B132,CHOOSE({1,2},'NOVACART DATA'!$B$2:$B$1001,'NOVACART DATA'!$A$2:$A$1001),2,FALSE)</f>
        <v>46073</v>
      </c>
      <c r="B132" s="1">
        <v>1504</v>
      </c>
      <c r="C132" s="1">
        <f>VLOOKUP(B132,'NOVACART DATA'!$B$2:$C$1000,2,FALSE)</f>
        <v>16</v>
      </c>
      <c r="D132" s="1">
        <v>18</v>
      </c>
      <c r="E132" s="1" t="str">
        <f>VLOOKUP(B132,'NOVACART DATA'!$B$2:$M$1001,5,FALSE)</f>
        <v>Referral</v>
      </c>
      <c r="F132" s="1">
        <v>1</v>
      </c>
      <c r="G132" s="1">
        <v>44.01</v>
      </c>
      <c r="H132" s="1">
        <v>0</v>
      </c>
      <c r="I132" s="17">
        <f t="shared" si="2"/>
        <v>44.01</v>
      </c>
      <c r="J132" s="1">
        <f>VLOOKUP(B132,'NOVACART DATA'!$B$2:$N$1001,13,FALSE)</f>
        <v>0</v>
      </c>
    </row>
    <row r="133" spans="1:10">
      <c r="A133" s="2">
        <f>VLOOKUP(B133,CHOOSE({1,2},'NOVACART DATA'!$B$2:$B$1001,'NOVACART DATA'!$A$2:$A$1001),2,FALSE)</f>
        <v>46073</v>
      </c>
      <c r="B133" s="1">
        <v>1504</v>
      </c>
      <c r="C133" s="1">
        <f>VLOOKUP(B133,'NOVACART DATA'!$B$2:$C$1000,2,FALSE)</f>
        <v>16</v>
      </c>
      <c r="D133" s="1">
        <v>26</v>
      </c>
      <c r="E133" s="1" t="str">
        <f>VLOOKUP(B133,'NOVACART DATA'!$B$2:$M$1001,5,FALSE)</f>
        <v>Referral</v>
      </c>
      <c r="F133" s="1">
        <v>1</v>
      </c>
      <c r="G133" s="1">
        <v>31.76</v>
      </c>
      <c r="H133" s="1">
        <v>10</v>
      </c>
      <c r="I133" s="17">
        <f t="shared" si="2"/>
        <v>28.584000000000003</v>
      </c>
      <c r="J133" s="1">
        <f>VLOOKUP(B133,'NOVACART DATA'!$B$2:$N$1001,13,FALSE)</f>
        <v>0</v>
      </c>
    </row>
    <row r="134" spans="1:10">
      <c r="A134" s="2">
        <f>VLOOKUP(B134,CHOOSE({1,2},'NOVACART DATA'!$B$2:$B$1001,'NOVACART DATA'!$A$2:$A$1001),2,FALSE)</f>
        <v>46081</v>
      </c>
      <c r="B134" s="1">
        <v>1542</v>
      </c>
      <c r="C134" s="1">
        <f>VLOOKUP(B134,'NOVACART DATA'!$B$2:$C$1000,2,FALSE)</f>
        <v>16</v>
      </c>
      <c r="D134" s="1">
        <v>3</v>
      </c>
      <c r="E134" s="1" t="str">
        <f>VLOOKUP(B134,'NOVACART DATA'!$B$2:$M$1001,5,FALSE)</f>
        <v>Referral</v>
      </c>
      <c r="F134" s="1">
        <v>1</v>
      </c>
      <c r="G134" s="1">
        <v>25.47</v>
      </c>
      <c r="H134" s="1">
        <v>0</v>
      </c>
      <c r="I134" s="17">
        <f t="shared" si="2"/>
        <v>25.47</v>
      </c>
      <c r="J134" s="1">
        <f>VLOOKUP(B134,'NOVACART DATA'!$B$2:$N$1001,13,FALSE)</f>
        <v>0</v>
      </c>
    </row>
    <row r="135" spans="1:10">
      <c r="A135" s="2">
        <f>VLOOKUP(B135,CHOOSE({1,2},'NOVACART DATA'!$B$2:$B$1001,'NOVACART DATA'!$A$2:$A$1001),2,FALSE)</f>
        <v>46081</v>
      </c>
      <c r="B135" s="1">
        <v>1542</v>
      </c>
      <c r="C135" s="1">
        <f>VLOOKUP(B135,'NOVACART DATA'!$B$2:$C$1000,2,FALSE)</f>
        <v>16</v>
      </c>
      <c r="D135" s="1">
        <v>10</v>
      </c>
      <c r="E135" s="1" t="str">
        <f>VLOOKUP(B135,'NOVACART DATA'!$B$2:$M$1001,5,FALSE)</f>
        <v>Referral</v>
      </c>
      <c r="F135" s="1">
        <v>2</v>
      </c>
      <c r="G135" s="1">
        <v>62.68</v>
      </c>
      <c r="H135" s="1">
        <v>5.5</v>
      </c>
      <c r="I135" s="17">
        <f t="shared" si="2"/>
        <v>118.4652</v>
      </c>
      <c r="J135" s="1">
        <f>VLOOKUP(B135,'NOVACART DATA'!$B$2:$N$1001,13,FALSE)</f>
        <v>0</v>
      </c>
    </row>
    <row r="136" spans="1:10">
      <c r="A136" s="2">
        <f>VLOOKUP(B136,CHOOSE({1,2},'NOVACART DATA'!$B$2:$B$1001,'NOVACART DATA'!$A$2:$A$1001),2,FALSE)</f>
        <v>46081</v>
      </c>
      <c r="B136" s="1">
        <v>1542</v>
      </c>
      <c r="C136" s="1">
        <f>VLOOKUP(B136,'NOVACART DATA'!$B$2:$C$1000,2,FALSE)</f>
        <v>16</v>
      </c>
      <c r="D136" s="1">
        <v>32</v>
      </c>
      <c r="E136" s="1" t="str">
        <f>VLOOKUP(B136,'NOVACART DATA'!$B$2:$M$1001,5,FALSE)</f>
        <v>Referral</v>
      </c>
      <c r="F136" s="1">
        <v>1</v>
      </c>
      <c r="G136" s="1">
        <v>61.06</v>
      </c>
      <c r="H136" s="1">
        <v>0</v>
      </c>
      <c r="I136" s="17">
        <f t="shared" si="2"/>
        <v>61.06</v>
      </c>
      <c r="J136" s="1">
        <f>VLOOKUP(B136,'NOVACART DATA'!$B$2:$N$1001,13,FALSE)</f>
        <v>0</v>
      </c>
    </row>
    <row r="137" spans="1:10">
      <c r="A137" s="2">
        <f>VLOOKUP(B137,CHOOSE({1,2},'NOVACART DATA'!$B$2:$B$1001,'NOVACART DATA'!$A$2:$A$1001),2,FALSE)</f>
        <v>46327</v>
      </c>
      <c r="B137" s="1">
        <v>1390</v>
      </c>
      <c r="C137" s="1">
        <f>VLOOKUP(B137,'NOVACART DATA'!$B$2:$C$1000,2,FALSE)</f>
        <v>17</v>
      </c>
      <c r="D137" s="1">
        <v>3</v>
      </c>
      <c r="E137" s="1" t="str">
        <f>VLOOKUP(B137,'NOVACART DATA'!$B$2:$M$1001,5,FALSE)</f>
        <v>Direct</v>
      </c>
      <c r="F137" s="1">
        <v>3</v>
      </c>
      <c r="G137" s="1">
        <v>25.47</v>
      </c>
      <c r="H137" s="1">
        <v>0</v>
      </c>
      <c r="I137" s="17">
        <f t="shared" si="2"/>
        <v>76.41</v>
      </c>
      <c r="J137" s="1">
        <f>VLOOKUP(B137,'NOVACART DATA'!$B$2:$N$1001,13,FALSE)</f>
        <v>0</v>
      </c>
    </row>
    <row r="138" spans="1:10">
      <c r="A138" s="2">
        <f>VLOOKUP(B138,CHOOSE({1,2},'NOVACART DATA'!$B$2:$B$1001,'NOVACART DATA'!$A$2:$A$1001),2,FALSE)</f>
        <v>46327</v>
      </c>
      <c r="B138" s="1">
        <v>1390</v>
      </c>
      <c r="C138" s="1">
        <f>VLOOKUP(B138,'NOVACART DATA'!$B$2:$C$1000,2,FALSE)</f>
        <v>17</v>
      </c>
      <c r="D138" s="1">
        <v>23</v>
      </c>
      <c r="E138" s="1" t="str">
        <f>VLOOKUP(B138,'NOVACART DATA'!$B$2:$M$1001,5,FALSE)</f>
        <v>Direct</v>
      </c>
      <c r="F138" s="1">
        <v>2</v>
      </c>
      <c r="G138" s="1">
        <v>38.14</v>
      </c>
      <c r="H138" s="1">
        <v>0</v>
      </c>
      <c r="I138" s="17">
        <f t="shared" si="2"/>
        <v>76.28</v>
      </c>
      <c r="J138" s="1">
        <f>VLOOKUP(B138,'NOVACART DATA'!$B$2:$N$1001,13,FALSE)</f>
        <v>0</v>
      </c>
    </row>
    <row r="139" spans="1:10">
      <c r="A139" s="2">
        <f>VLOOKUP(B139,CHOOSE({1,2},'NOVACART DATA'!$B$2:$B$1001,'NOVACART DATA'!$A$2:$A$1001),2,FALSE)</f>
        <v>45978</v>
      </c>
      <c r="B139" s="1">
        <v>1138</v>
      </c>
      <c r="C139" s="1">
        <f>VLOOKUP(B139,'NOVACART DATA'!$B$2:$C$1000,2,FALSE)</f>
        <v>18</v>
      </c>
      <c r="D139" s="1">
        <v>36</v>
      </c>
      <c r="E139" s="1" t="str">
        <f>VLOOKUP(B139,'NOVACART DATA'!$B$2:$M$1001,5,FALSE)</f>
        <v>Referral</v>
      </c>
      <c r="F139" s="1">
        <v>1</v>
      </c>
      <c r="G139" s="1">
        <v>23.23</v>
      </c>
      <c r="H139" s="1">
        <v>0</v>
      </c>
      <c r="I139" s="17">
        <f t="shared" si="2"/>
        <v>23.23</v>
      </c>
      <c r="J139" s="1">
        <f>VLOOKUP(B139,'NOVACART DATA'!$B$2:$N$1001,13,FALSE)</f>
        <v>0</v>
      </c>
    </row>
    <row r="140" spans="1:10">
      <c r="A140" s="2">
        <f>VLOOKUP(B140,CHOOSE({1,2},'NOVACART DATA'!$B$2:$B$1001,'NOVACART DATA'!$A$2:$A$1001),2,FALSE)</f>
        <v>45978</v>
      </c>
      <c r="B140" s="1">
        <v>1138</v>
      </c>
      <c r="C140" s="1">
        <f>VLOOKUP(B140,'NOVACART DATA'!$B$2:$C$1000,2,FALSE)</f>
        <v>18</v>
      </c>
      <c r="D140" s="1">
        <v>40</v>
      </c>
      <c r="E140" s="1" t="str">
        <f>VLOOKUP(B140,'NOVACART DATA'!$B$2:$M$1001,5,FALSE)</f>
        <v>Referral</v>
      </c>
      <c r="F140" s="1">
        <v>1</v>
      </c>
      <c r="G140" s="1">
        <v>47.25</v>
      </c>
      <c r="H140" s="1">
        <v>0</v>
      </c>
      <c r="I140" s="17">
        <f t="shared" si="2"/>
        <v>47.25</v>
      </c>
      <c r="J140" s="1">
        <f>VLOOKUP(B140,'NOVACART DATA'!$B$2:$N$1001,13,FALSE)</f>
        <v>0</v>
      </c>
    </row>
    <row r="141" spans="1:10">
      <c r="A141" s="2">
        <f>VLOOKUP(B141,CHOOSE({1,2},'NOVACART DATA'!$B$2:$B$1001,'NOVACART DATA'!$A$2:$A$1001),2,FALSE)</f>
        <v>46080</v>
      </c>
      <c r="B141" s="1">
        <v>1534</v>
      </c>
      <c r="C141" s="1">
        <f>VLOOKUP(B141,'NOVACART DATA'!$B$2:$C$1000,2,FALSE)</f>
        <v>18</v>
      </c>
      <c r="D141" s="1">
        <v>34</v>
      </c>
      <c r="E141" s="1" t="str">
        <f>VLOOKUP(B141,'NOVACART DATA'!$B$2:$M$1001,5,FALSE)</f>
        <v>Referral</v>
      </c>
      <c r="F141" s="1">
        <v>1</v>
      </c>
      <c r="G141" s="1">
        <v>58.26</v>
      </c>
      <c r="H141" s="1">
        <v>0</v>
      </c>
      <c r="I141" s="17">
        <f t="shared" si="2"/>
        <v>58.26</v>
      </c>
      <c r="J141" s="1">
        <f>VLOOKUP(B141,'NOVACART DATA'!$B$2:$N$1001,13,FALSE)</f>
        <v>0</v>
      </c>
    </row>
    <row r="142" spans="1:10">
      <c r="A142" s="2">
        <f>VLOOKUP(B142,CHOOSE({1,2},'NOVACART DATA'!$B$2:$B$1001,'NOVACART DATA'!$A$2:$A$1001),2,FALSE)</f>
        <v>46080</v>
      </c>
      <c r="B142" s="1">
        <v>1534</v>
      </c>
      <c r="C142" s="1">
        <f>VLOOKUP(B142,'NOVACART DATA'!$B$2:$C$1000,2,FALSE)</f>
        <v>18</v>
      </c>
      <c r="D142" s="1">
        <v>7</v>
      </c>
      <c r="E142" s="1" t="str">
        <f>VLOOKUP(B142,'NOVACART DATA'!$B$2:$M$1001,5,FALSE)</f>
        <v>Referral</v>
      </c>
      <c r="F142" s="1">
        <v>1</v>
      </c>
      <c r="G142" s="1">
        <v>79.39</v>
      </c>
      <c r="H142" s="1">
        <v>0</v>
      </c>
      <c r="I142" s="17">
        <f t="shared" si="2"/>
        <v>79.39</v>
      </c>
      <c r="J142" s="1">
        <f>VLOOKUP(B142,'NOVACART DATA'!$B$2:$N$1001,13,FALSE)</f>
        <v>0</v>
      </c>
    </row>
    <row r="143" spans="1:10">
      <c r="A143" s="2">
        <f>VLOOKUP(B143,CHOOSE({1,2},'NOVACART DATA'!$B$2:$B$1001,'NOVACART DATA'!$A$2:$A$1001),2,FALSE)</f>
        <v>45979</v>
      </c>
      <c r="B143" s="1">
        <v>1144</v>
      </c>
      <c r="C143" s="1">
        <f>VLOOKUP(B143,'NOVACART DATA'!$B$2:$C$1000,2,FALSE)</f>
        <v>19</v>
      </c>
      <c r="D143" s="1">
        <v>34</v>
      </c>
      <c r="E143" s="1" t="str">
        <f>VLOOKUP(B143,'NOVACART DATA'!$B$2:$M$1001,5,FALSE)</f>
        <v>Organic</v>
      </c>
      <c r="F143" s="1">
        <v>3</v>
      </c>
      <c r="G143" s="1">
        <v>58.26</v>
      </c>
      <c r="H143" s="1">
        <v>0</v>
      </c>
      <c r="I143" s="17">
        <f t="shared" si="2"/>
        <v>174.78</v>
      </c>
      <c r="J143" s="1">
        <f>VLOOKUP(B143,'NOVACART DATA'!$B$2:$N$1001,13,FALSE)</f>
        <v>0</v>
      </c>
    </row>
    <row r="144" spans="1:10">
      <c r="A144" s="2">
        <f>VLOOKUP(B144,CHOOSE({1,2},'NOVACART DATA'!$B$2:$B$1001,'NOVACART DATA'!$A$2:$A$1001),2,FALSE)</f>
        <v>45979</v>
      </c>
      <c r="B144" s="1">
        <v>1144</v>
      </c>
      <c r="C144" s="1">
        <f>VLOOKUP(B144,'NOVACART DATA'!$B$2:$C$1000,2,FALSE)</f>
        <v>19</v>
      </c>
      <c r="D144" s="1">
        <v>8</v>
      </c>
      <c r="E144" s="1" t="str">
        <f>VLOOKUP(B144,'NOVACART DATA'!$B$2:$M$1001,5,FALSE)</f>
        <v>Organic</v>
      </c>
      <c r="F144" s="1">
        <v>1</v>
      </c>
      <c r="G144" s="1">
        <v>16.72</v>
      </c>
      <c r="H144" s="1">
        <v>0</v>
      </c>
      <c r="I144" s="17">
        <f t="shared" si="2"/>
        <v>16.72</v>
      </c>
      <c r="J144" s="1">
        <f>VLOOKUP(B144,'NOVACART DATA'!$B$2:$N$1001,13,FALSE)</f>
        <v>0</v>
      </c>
    </row>
    <row r="145" spans="1:10">
      <c r="A145" s="2">
        <f>VLOOKUP(B145,CHOOSE({1,2},'NOVACART DATA'!$B$2:$B$1001,'NOVACART DATA'!$A$2:$A$1001),2,FALSE)</f>
        <v>45979</v>
      </c>
      <c r="B145" s="1">
        <v>1144</v>
      </c>
      <c r="C145" s="1">
        <f>VLOOKUP(B145,'NOVACART DATA'!$B$2:$C$1000,2,FALSE)</f>
        <v>19</v>
      </c>
      <c r="D145" s="1">
        <v>33</v>
      </c>
      <c r="E145" s="1" t="str">
        <f>VLOOKUP(B145,'NOVACART DATA'!$B$2:$M$1001,5,FALSE)</f>
        <v>Organic</v>
      </c>
      <c r="F145" s="1">
        <v>3</v>
      </c>
      <c r="G145" s="1">
        <v>40.94</v>
      </c>
      <c r="H145" s="1">
        <v>0</v>
      </c>
      <c r="I145" s="17">
        <f t="shared" si="2"/>
        <v>122.82</v>
      </c>
      <c r="J145" s="1">
        <f>VLOOKUP(B145,'NOVACART DATA'!$B$2:$N$1001,13,FALSE)</f>
        <v>0</v>
      </c>
    </row>
    <row r="146" spans="1:10">
      <c r="A146" s="2">
        <f>VLOOKUP(B146,CHOOSE({1,2},'NOVACART DATA'!$B$2:$B$1001,'NOVACART DATA'!$A$2:$A$1001),2,FALSE)</f>
        <v>45979</v>
      </c>
      <c r="B146" s="1">
        <v>1144</v>
      </c>
      <c r="C146" s="1">
        <f>VLOOKUP(B146,'NOVACART DATA'!$B$2:$C$1000,2,FALSE)</f>
        <v>19</v>
      </c>
      <c r="D146" s="1">
        <v>39</v>
      </c>
      <c r="E146" s="1" t="str">
        <f>VLOOKUP(B146,'NOVACART DATA'!$B$2:$M$1001,5,FALSE)</f>
        <v>Organic</v>
      </c>
      <c r="F146" s="1">
        <v>1</v>
      </c>
      <c r="G146" s="1">
        <v>39.979999999999997</v>
      </c>
      <c r="H146" s="1">
        <v>0</v>
      </c>
      <c r="I146" s="17">
        <f t="shared" si="2"/>
        <v>39.979999999999997</v>
      </c>
      <c r="J146" s="1">
        <f>VLOOKUP(B146,'NOVACART DATA'!$B$2:$N$1001,13,FALSE)</f>
        <v>0</v>
      </c>
    </row>
    <row r="147" spans="1:10">
      <c r="A147" s="2">
        <f>VLOOKUP(B147,CHOOSE({1,2},'NOVACART DATA'!$B$2:$B$1001,'NOVACART DATA'!$A$2:$A$1001),2,FALSE)</f>
        <v>45973</v>
      </c>
      <c r="B147" s="1">
        <v>1255</v>
      </c>
      <c r="C147" s="1">
        <f>VLOOKUP(B147,'NOVACART DATA'!$B$2:$C$1000,2,FALSE)</f>
        <v>19</v>
      </c>
      <c r="D147" s="1">
        <v>28</v>
      </c>
      <c r="E147" s="1" t="str">
        <f>VLOOKUP(B147,'NOVACART DATA'!$B$2:$M$1001,5,FALSE)</f>
        <v>Organic</v>
      </c>
      <c r="F147" s="1">
        <v>1</v>
      </c>
      <c r="G147" s="1">
        <v>21.24</v>
      </c>
      <c r="H147" s="1">
        <v>15</v>
      </c>
      <c r="I147" s="17">
        <f t="shared" si="2"/>
        <v>18.053999999999998</v>
      </c>
      <c r="J147" s="1">
        <f>VLOOKUP(B147,'NOVACART DATA'!$B$2:$N$1001,13,FALSE)</f>
        <v>0</v>
      </c>
    </row>
    <row r="148" spans="1:10">
      <c r="A148" s="2">
        <f>VLOOKUP(B148,CHOOSE({1,2},'NOVACART DATA'!$B$2:$B$1001,'NOVACART DATA'!$A$2:$A$1001),2,FALSE)</f>
        <v>45973</v>
      </c>
      <c r="B148" s="1">
        <v>1255</v>
      </c>
      <c r="C148" s="1">
        <f>VLOOKUP(B148,'NOVACART DATA'!$B$2:$C$1000,2,FALSE)</f>
        <v>19</v>
      </c>
      <c r="D148" s="1">
        <v>30</v>
      </c>
      <c r="E148" s="1" t="str">
        <f>VLOOKUP(B148,'NOVACART DATA'!$B$2:$M$1001,5,FALSE)</f>
        <v>Organic</v>
      </c>
      <c r="F148" s="1">
        <v>2</v>
      </c>
      <c r="G148" s="1">
        <v>41.49</v>
      </c>
      <c r="H148" s="1">
        <v>10</v>
      </c>
      <c r="I148" s="17">
        <f t="shared" si="2"/>
        <v>74.682000000000002</v>
      </c>
      <c r="J148" s="1">
        <f>VLOOKUP(B148,'NOVACART DATA'!$B$2:$N$1001,13,FALSE)</f>
        <v>0</v>
      </c>
    </row>
    <row r="149" spans="1:10">
      <c r="A149" s="2">
        <f>VLOOKUP(B149,CHOOSE({1,2},'NOVACART DATA'!$B$2:$B$1001,'NOVACART DATA'!$A$2:$A$1001),2,FALSE)</f>
        <v>46328</v>
      </c>
      <c r="B149" s="1">
        <v>1473</v>
      </c>
      <c r="C149" s="1">
        <f>VLOOKUP(B149,'NOVACART DATA'!$B$2:$C$1000,2,FALSE)</f>
        <v>19</v>
      </c>
      <c r="D149" s="1">
        <v>11</v>
      </c>
      <c r="E149" s="1" t="str">
        <f>VLOOKUP(B149,'NOVACART DATA'!$B$2:$M$1001,5,FALSE)</f>
        <v>Organic</v>
      </c>
      <c r="F149" s="1">
        <v>1</v>
      </c>
      <c r="G149" s="1">
        <v>58.35</v>
      </c>
      <c r="H149" s="1">
        <v>15</v>
      </c>
      <c r="I149" s="17">
        <f t="shared" si="2"/>
        <v>49.597499999999997</v>
      </c>
      <c r="J149" s="1">
        <f>VLOOKUP(B149,'NOVACART DATA'!$B$2:$N$1001,13,FALSE)</f>
        <v>0</v>
      </c>
    </row>
    <row r="150" spans="1:10">
      <c r="A150" s="2">
        <f>VLOOKUP(B150,CHOOSE({1,2},'NOVACART DATA'!$B$2:$B$1001,'NOVACART DATA'!$A$2:$A$1001),2,FALSE)</f>
        <v>45944</v>
      </c>
      <c r="B150" s="1">
        <v>1008</v>
      </c>
      <c r="C150" s="1">
        <f>VLOOKUP(B150,'NOVACART DATA'!$B$2:$C$1000,2,FALSE)</f>
        <v>20</v>
      </c>
      <c r="D150" s="1">
        <v>33</v>
      </c>
      <c r="E150" s="1" t="str">
        <f>VLOOKUP(B150,'NOVACART DATA'!$B$2:$M$1001,5,FALSE)</f>
        <v>Paid Search</v>
      </c>
      <c r="F150" s="1">
        <v>2</v>
      </c>
      <c r="G150" s="1">
        <v>40.94</v>
      </c>
      <c r="H150" s="1">
        <v>0</v>
      </c>
      <c r="I150" s="17">
        <f t="shared" si="2"/>
        <v>81.88</v>
      </c>
      <c r="J150" s="1">
        <f>VLOOKUP(B150,'NOVACART DATA'!$B$2:$N$1001,13,FALSE)</f>
        <v>0</v>
      </c>
    </row>
    <row r="151" spans="1:10">
      <c r="A151" s="2">
        <f>VLOOKUP(B151,CHOOSE({1,2},'NOVACART DATA'!$B$2:$B$1001,'NOVACART DATA'!$A$2:$A$1001),2,FALSE)</f>
        <v>45976</v>
      </c>
      <c r="B151" s="1">
        <v>1129</v>
      </c>
      <c r="C151" s="1">
        <f>VLOOKUP(B151,'NOVACART DATA'!$B$2:$C$1000,2,FALSE)</f>
        <v>20</v>
      </c>
      <c r="D151" s="1">
        <v>20</v>
      </c>
      <c r="E151" s="1" t="str">
        <f>VLOOKUP(B151,'NOVACART DATA'!$B$2:$M$1001,5,FALSE)</f>
        <v>Paid Search</v>
      </c>
      <c r="F151" s="1">
        <v>3</v>
      </c>
      <c r="G151" s="1">
        <v>32.76</v>
      </c>
      <c r="H151" s="1">
        <v>0</v>
      </c>
      <c r="I151" s="17">
        <f t="shared" si="2"/>
        <v>98.28</v>
      </c>
      <c r="J151" s="1">
        <f>VLOOKUP(B151,'NOVACART DATA'!$B$2:$N$1001,13,FALSE)</f>
        <v>0</v>
      </c>
    </row>
    <row r="152" spans="1:10">
      <c r="A152" s="2">
        <f>VLOOKUP(B152,CHOOSE({1,2},'NOVACART DATA'!$B$2:$B$1001,'NOVACART DATA'!$A$2:$A$1001),2,FALSE)</f>
        <v>45994</v>
      </c>
      <c r="B152" s="1">
        <v>1216</v>
      </c>
      <c r="C152" s="1">
        <f>VLOOKUP(B152,'NOVACART DATA'!$B$2:$C$1000,2,FALSE)</f>
        <v>20</v>
      </c>
      <c r="D152" s="1">
        <v>38</v>
      </c>
      <c r="E152" s="1" t="str">
        <f>VLOOKUP(B152,'NOVACART DATA'!$B$2:$M$1001,5,FALSE)</f>
        <v>Paid Search</v>
      </c>
      <c r="F152" s="1">
        <v>1</v>
      </c>
      <c r="G152" s="1">
        <v>25.14</v>
      </c>
      <c r="H152" s="1">
        <v>0</v>
      </c>
      <c r="I152" s="17">
        <f t="shared" si="2"/>
        <v>25.14</v>
      </c>
      <c r="J152" s="1">
        <f>VLOOKUP(B152,'NOVACART DATA'!$B$2:$N$1001,13,FALSE)</f>
        <v>0</v>
      </c>
    </row>
    <row r="153" spans="1:10">
      <c r="A153" s="2">
        <f>VLOOKUP(B153,CHOOSE({1,2},'NOVACART DATA'!$B$2:$B$1001,'NOVACART DATA'!$A$2:$A$1001),2,FALSE)</f>
        <v>46072</v>
      </c>
      <c r="B153" s="1">
        <v>1501</v>
      </c>
      <c r="C153" s="1">
        <f>VLOOKUP(B153,'NOVACART DATA'!$B$2:$C$1000,2,FALSE)</f>
        <v>20</v>
      </c>
      <c r="D153" s="1">
        <v>8</v>
      </c>
      <c r="E153" s="1" t="str">
        <f>VLOOKUP(B153,'NOVACART DATA'!$B$2:$M$1001,5,FALSE)</f>
        <v>Paid Search</v>
      </c>
      <c r="F153" s="1">
        <v>2</v>
      </c>
      <c r="G153" s="1">
        <v>16.72</v>
      </c>
      <c r="H153" s="1">
        <v>0</v>
      </c>
      <c r="I153" s="17">
        <f t="shared" si="2"/>
        <v>33.44</v>
      </c>
      <c r="J153" s="1">
        <f>VLOOKUP(B153,'NOVACART DATA'!$B$2:$N$1001,13,FALSE)</f>
        <v>0</v>
      </c>
    </row>
    <row r="154" spans="1:10">
      <c r="A154" s="2">
        <f>VLOOKUP(B154,CHOOSE({1,2},'NOVACART DATA'!$B$2:$B$1001,'NOVACART DATA'!$A$2:$A$1001),2,FALSE)</f>
        <v>46073</v>
      </c>
      <c r="B154" s="1">
        <v>1505</v>
      </c>
      <c r="C154" s="1">
        <f>VLOOKUP(B154,'NOVACART DATA'!$B$2:$C$1000,2,FALSE)</f>
        <v>20</v>
      </c>
      <c r="D154" s="1">
        <v>37</v>
      </c>
      <c r="E154" s="1" t="str">
        <f>VLOOKUP(B154,'NOVACART DATA'!$B$2:$M$1001,5,FALSE)</f>
        <v>Paid Search</v>
      </c>
      <c r="F154" s="1">
        <v>2</v>
      </c>
      <c r="G154" s="1">
        <v>52.67</v>
      </c>
      <c r="H154" s="1">
        <v>0</v>
      </c>
      <c r="I154" s="17">
        <f t="shared" si="2"/>
        <v>105.34</v>
      </c>
      <c r="J154" s="1">
        <f>VLOOKUP(B154,'NOVACART DATA'!$B$2:$N$1001,13,FALSE)</f>
        <v>0</v>
      </c>
    </row>
    <row r="155" spans="1:10">
      <c r="A155" s="2">
        <f>VLOOKUP(B155,CHOOSE({1,2},'NOVACART DATA'!$B$2:$B$1001,'NOVACART DATA'!$A$2:$A$1001),2,FALSE)</f>
        <v>45974</v>
      </c>
      <c r="B155" s="1">
        <v>1119</v>
      </c>
      <c r="C155" s="1">
        <f>VLOOKUP(B155,'NOVACART DATA'!$B$2:$C$1000,2,FALSE)</f>
        <v>22</v>
      </c>
      <c r="D155" s="1">
        <v>30</v>
      </c>
      <c r="E155" s="1" t="str">
        <f>VLOOKUP(B155,'NOVACART DATA'!$B$2:$M$1001,5,FALSE)</f>
        <v>Email</v>
      </c>
      <c r="F155" s="1">
        <v>1</v>
      </c>
      <c r="G155" s="1">
        <v>41.49</v>
      </c>
      <c r="H155" s="1">
        <v>0</v>
      </c>
      <c r="I155" s="17">
        <f t="shared" si="2"/>
        <v>41.49</v>
      </c>
      <c r="J155" s="1">
        <f>VLOOKUP(B155,'NOVACART DATA'!$B$2:$N$1001,13,FALSE)</f>
        <v>0</v>
      </c>
    </row>
    <row r="156" spans="1:10">
      <c r="A156" s="2">
        <f>VLOOKUP(B156,CHOOSE({1,2},'NOVACART DATA'!$B$2:$B$1001,'NOVACART DATA'!$A$2:$A$1001),2,FALSE)</f>
        <v>46014</v>
      </c>
      <c r="B156" s="1">
        <v>1313</v>
      </c>
      <c r="C156" s="1">
        <f>VLOOKUP(B156,'NOVACART DATA'!$B$2:$C$1000,2,FALSE)</f>
        <v>22</v>
      </c>
      <c r="D156" s="1">
        <v>36</v>
      </c>
      <c r="E156" s="1" t="str">
        <f>VLOOKUP(B156,'NOVACART DATA'!$B$2:$M$1001,5,FALSE)</f>
        <v>Email</v>
      </c>
      <c r="F156" s="1">
        <v>1</v>
      </c>
      <c r="G156" s="1">
        <v>23.23</v>
      </c>
      <c r="H156" s="1">
        <v>0</v>
      </c>
      <c r="I156" s="17">
        <f t="shared" si="2"/>
        <v>23.23</v>
      </c>
      <c r="J156" s="1">
        <f>VLOOKUP(B156,'NOVACART DATA'!$B$2:$N$1001,13,FALSE)</f>
        <v>0</v>
      </c>
    </row>
    <row r="157" spans="1:10">
      <c r="A157" s="2">
        <f>VLOOKUP(B157,CHOOSE({1,2},'NOVACART DATA'!$B$2:$B$1001,'NOVACART DATA'!$A$2:$A$1001),2,FALSE)</f>
        <v>46014</v>
      </c>
      <c r="B157" s="1">
        <v>1313</v>
      </c>
      <c r="C157" s="1">
        <f>VLOOKUP(B157,'NOVACART DATA'!$B$2:$C$1000,2,FALSE)</f>
        <v>22</v>
      </c>
      <c r="D157" s="1">
        <v>36</v>
      </c>
      <c r="E157" s="1" t="str">
        <f>VLOOKUP(B157,'NOVACART DATA'!$B$2:$M$1001,5,FALSE)</f>
        <v>Email</v>
      </c>
      <c r="F157" s="1">
        <v>1</v>
      </c>
      <c r="G157" s="1">
        <v>23.23</v>
      </c>
      <c r="H157" s="1">
        <v>0</v>
      </c>
      <c r="I157" s="17">
        <f t="shared" si="2"/>
        <v>23.23</v>
      </c>
      <c r="J157" s="1">
        <f>VLOOKUP(B157,'NOVACART DATA'!$B$2:$N$1001,13,FALSE)</f>
        <v>0</v>
      </c>
    </row>
    <row r="158" spans="1:10">
      <c r="A158" s="2">
        <f>VLOOKUP(B158,CHOOSE({1,2},'NOVACART DATA'!$B$2:$B$1001,'NOVACART DATA'!$A$2:$A$1001),2,FALSE)</f>
        <v>45949</v>
      </c>
      <c r="B158" s="1">
        <v>1027</v>
      </c>
      <c r="C158" s="1">
        <f>VLOOKUP(B158,'NOVACART DATA'!$B$2:$C$1000,2,FALSE)</f>
        <v>23</v>
      </c>
      <c r="D158" s="1">
        <v>30</v>
      </c>
      <c r="E158" s="1" t="str">
        <f>VLOOKUP(B158,'NOVACART DATA'!$B$2:$M$1001,5,FALSE)</f>
        <v>Email</v>
      </c>
      <c r="F158" s="1">
        <v>1</v>
      </c>
      <c r="G158" s="1">
        <v>41.49</v>
      </c>
      <c r="H158" s="1">
        <v>0</v>
      </c>
      <c r="I158" s="17">
        <f t="shared" si="2"/>
        <v>41.49</v>
      </c>
      <c r="J158" s="1">
        <f>VLOOKUP(B158,'NOVACART DATA'!$B$2:$N$1001,13,FALSE)</f>
        <v>0</v>
      </c>
    </row>
    <row r="159" spans="1:10">
      <c r="A159" s="2">
        <f>VLOOKUP(B159,CHOOSE({1,2},'NOVACART DATA'!$B$2:$B$1001,'NOVACART DATA'!$A$2:$A$1001),2,FALSE)</f>
        <v>45975</v>
      </c>
      <c r="B159" s="1">
        <v>1123</v>
      </c>
      <c r="C159" s="1">
        <f>VLOOKUP(B159,'NOVACART DATA'!$B$2:$C$1000,2,FALSE)</f>
        <v>23</v>
      </c>
      <c r="D159" s="1">
        <v>34</v>
      </c>
      <c r="E159" s="1" t="str">
        <f>VLOOKUP(B159,'NOVACART DATA'!$B$2:$M$1001,5,FALSE)</f>
        <v>Email</v>
      </c>
      <c r="F159" s="1">
        <v>2</v>
      </c>
      <c r="G159" s="1">
        <v>58.26</v>
      </c>
      <c r="H159" s="1">
        <v>0</v>
      </c>
      <c r="I159" s="17">
        <f t="shared" si="2"/>
        <v>116.52</v>
      </c>
      <c r="J159" s="1">
        <f>VLOOKUP(B159,'NOVACART DATA'!$B$2:$N$1001,13,FALSE)</f>
        <v>0</v>
      </c>
    </row>
    <row r="160" spans="1:10">
      <c r="A160" s="2">
        <f>VLOOKUP(B160,CHOOSE({1,2},'NOVACART DATA'!$B$2:$B$1001,'NOVACART DATA'!$A$2:$A$1001),2,FALSE)</f>
        <v>45975</v>
      </c>
      <c r="B160" s="1">
        <v>1123</v>
      </c>
      <c r="C160" s="1">
        <f>VLOOKUP(B160,'NOVACART DATA'!$B$2:$C$1000,2,FALSE)</f>
        <v>23</v>
      </c>
      <c r="D160" s="1">
        <v>28</v>
      </c>
      <c r="E160" s="1" t="str">
        <f>VLOOKUP(B160,'NOVACART DATA'!$B$2:$M$1001,5,FALSE)</f>
        <v>Email</v>
      </c>
      <c r="F160" s="1">
        <v>1</v>
      </c>
      <c r="G160" s="1">
        <v>21.24</v>
      </c>
      <c r="H160" s="1">
        <v>0</v>
      </c>
      <c r="I160" s="17">
        <f t="shared" si="2"/>
        <v>21.24</v>
      </c>
      <c r="J160" s="1">
        <f>VLOOKUP(B160,'NOVACART DATA'!$B$2:$N$1001,13,FALSE)</f>
        <v>0</v>
      </c>
    </row>
    <row r="161" spans="1:10">
      <c r="A161" s="2">
        <f>VLOOKUP(B161,CHOOSE({1,2},'NOVACART DATA'!$B$2:$B$1001,'NOVACART DATA'!$A$2:$A$1001),2,FALSE)</f>
        <v>45981</v>
      </c>
      <c r="B161" s="1">
        <v>1154</v>
      </c>
      <c r="C161" s="1">
        <f>VLOOKUP(B161,'NOVACART DATA'!$B$2:$C$1000,2,FALSE)</f>
        <v>23</v>
      </c>
      <c r="D161" s="1">
        <v>20</v>
      </c>
      <c r="E161" s="1" t="str">
        <f>VLOOKUP(B161,'NOVACART DATA'!$B$2:$M$1001,5,FALSE)</f>
        <v>Email</v>
      </c>
      <c r="F161" s="1">
        <v>1</v>
      </c>
      <c r="G161" s="1">
        <v>32.76</v>
      </c>
      <c r="H161" s="1">
        <v>20</v>
      </c>
      <c r="I161" s="17">
        <f t="shared" si="2"/>
        <v>26.207999999999998</v>
      </c>
      <c r="J161" s="1">
        <f>VLOOKUP(B161,'NOVACART DATA'!$B$2:$N$1001,13,FALSE)</f>
        <v>0</v>
      </c>
    </row>
    <row r="162" spans="1:10">
      <c r="A162" s="2">
        <f>VLOOKUP(B162,CHOOSE({1,2},'NOVACART DATA'!$B$2:$B$1001,'NOVACART DATA'!$A$2:$A$1001),2,FALSE)</f>
        <v>45981</v>
      </c>
      <c r="B162" s="1">
        <v>1154</v>
      </c>
      <c r="C162" s="1">
        <f>VLOOKUP(B162,'NOVACART DATA'!$B$2:$C$1000,2,FALSE)</f>
        <v>23</v>
      </c>
      <c r="D162" s="1">
        <v>34</v>
      </c>
      <c r="E162" s="1" t="str">
        <f>VLOOKUP(B162,'NOVACART DATA'!$B$2:$M$1001,5,FALSE)</f>
        <v>Email</v>
      </c>
      <c r="F162" s="1">
        <v>3</v>
      </c>
      <c r="G162" s="1">
        <v>58.26</v>
      </c>
      <c r="H162" s="1">
        <v>15</v>
      </c>
      <c r="I162" s="17">
        <f t="shared" si="2"/>
        <v>148.56299999999999</v>
      </c>
      <c r="J162" s="1">
        <f>VLOOKUP(B162,'NOVACART DATA'!$B$2:$N$1001,13,FALSE)</f>
        <v>0</v>
      </c>
    </row>
    <row r="163" spans="1:10">
      <c r="A163" s="2">
        <f>VLOOKUP(B163,CHOOSE({1,2},'NOVACART DATA'!$B$2:$B$1001,'NOVACART DATA'!$A$2:$A$1001),2,FALSE)</f>
        <v>45981</v>
      </c>
      <c r="B163" s="1">
        <v>1154</v>
      </c>
      <c r="C163" s="1">
        <f>VLOOKUP(B163,'NOVACART DATA'!$B$2:$C$1000,2,FALSE)</f>
        <v>23</v>
      </c>
      <c r="D163" s="1">
        <v>19</v>
      </c>
      <c r="E163" s="1" t="str">
        <f>VLOOKUP(B163,'NOVACART DATA'!$B$2:$M$1001,5,FALSE)</f>
        <v>Email</v>
      </c>
      <c r="F163" s="1">
        <v>1</v>
      </c>
      <c r="G163" s="1">
        <v>50.14</v>
      </c>
      <c r="H163" s="1">
        <v>25</v>
      </c>
      <c r="I163" s="17">
        <f t="shared" si="2"/>
        <v>37.605000000000004</v>
      </c>
      <c r="J163" s="1">
        <f>VLOOKUP(B163,'NOVACART DATA'!$B$2:$N$1001,13,FALSE)</f>
        <v>0</v>
      </c>
    </row>
    <row r="164" spans="1:10">
      <c r="A164" s="2">
        <f>VLOOKUP(B164,CHOOSE({1,2},'NOVACART DATA'!$B$2:$B$1001,'NOVACART DATA'!$A$2:$A$1001),2,FALSE)</f>
        <v>45981</v>
      </c>
      <c r="B164" s="1">
        <v>1154</v>
      </c>
      <c r="C164" s="1">
        <f>VLOOKUP(B164,'NOVACART DATA'!$B$2:$C$1000,2,FALSE)</f>
        <v>23</v>
      </c>
      <c r="D164" s="1">
        <v>2</v>
      </c>
      <c r="E164" s="1" t="str">
        <f>VLOOKUP(B164,'NOVACART DATA'!$B$2:$M$1001,5,FALSE)</f>
        <v>Email</v>
      </c>
      <c r="F164" s="1">
        <v>1</v>
      </c>
      <c r="G164" s="1">
        <v>64.02</v>
      </c>
      <c r="H164" s="1">
        <v>20</v>
      </c>
      <c r="I164" s="17">
        <f t="shared" si="2"/>
        <v>51.216000000000001</v>
      </c>
      <c r="J164" s="1">
        <f>VLOOKUP(B164,'NOVACART DATA'!$B$2:$N$1001,13,FALSE)</f>
        <v>0</v>
      </c>
    </row>
    <row r="165" spans="1:10">
      <c r="A165" s="2">
        <f>VLOOKUP(B165,CHOOSE({1,2},'NOVACART DATA'!$B$2:$B$1001,'NOVACART DATA'!$A$2:$A$1001),2,FALSE)</f>
        <v>46015</v>
      </c>
      <c r="B165" s="1">
        <v>1316</v>
      </c>
      <c r="C165" s="1">
        <f>VLOOKUP(B165,'NOVACART DATA'!$B$2:$C$1000,2,FALSE)</f>
        <v>23</v>
      </c>
      <c r="D165" s="1">
        <v>9</v>
      </c>
      <c r="E165" s="1" t="str">
        <f>VLOOKUP(B165,'NOVACART DATA'!$B$2:$M$1001,5,FALSE)</f>
        <v>Email</v>
      </c>
      <c r="F165" s="1">
        <v>1</v>
      </c>
      <c r="G165" s="1">
        <v>20.69</v>
      </c>
      <c r="H165" s="1">
        <v>0</v>
      </c>
      <c r="I165" s="17">
        <f t="shared" si="2"/>
        <v>20.69</v>
      </c>
      <c r="J165" s="1">
        <f>VLOOKUP(B165,'NOVACART DATA'!$B$2:$N$1001,13,FALSE)</f>
        <v>0</v>
      </c>
    </row>
    <row r="166" spans="1:10">
      <c r="A166" s="2">
        <f>VLOOKUP(B166,CHOOSE({1,2},'NOVACART DATA'!$B$2:$B$1001,'NOVACART DATA'!$A$2:$A$1001),2,FALSE)</f>
        <v>46015</v>
      </c>
      <c r="B166" s="1">
        <v>1316</v>
      </c>
      <c r="C166" s="1">
        <f>VLOOKUP(B166,'NOVACART DATA'!$B$2:$C$1000,2,FALSE)</f>
        <v>23</v>
      </c>
      <c r="D166" s="1">
        <v>22</v>
      </c>
      <c r="E166" s="1" t="str">
        <f>VLOOKUP(B166,'NOVACART DATA'!$B$2:$M$1001,5,FALSE)</f>
        <v>Email</v>
      </c>
      <c r="F166" s="1">
        <v>1</v>
      </c>
      <c r="G166" s="1">
        <v>29.98</v>
      </c>
      <c r="H166" s="1">
        <v>0</v>
      </c>
      <c r="I166" s="17">
        <f t="shared" si="2"/>
        <v>29.98</v>
      </c>
      <c r="J166" s="1">
        <f>VLOOKUP(B166,'NOVACART DATA'!$B$2:$N$1001,13,FALSE)</f>
        <v>0</v>
      </c>
    </row>
    <row r="167" spans="1:10">
      <c r="A167" s="2">
        <f>VLOOKUP(B167,CHOOSE({1,2},'NOVACART DATA'!$B$2:$B$1001,'NOVACART DATA'!$A$2:$A$1001),2,FALSE)</f>
        <v>46015</v>
      </c>
      <c r="B167" s="1">
        <v>1316</v>
      </c>
      <c r="C167" s="1">
        <f>VLOOKUP(B167,'NOVACART DATA'!$B$2:$C$1000,2,FALSE)</f>
        <v>23</v>
      </c>
      <c r="D167" s="1">
        <v>28</v>
      </c>
      <c r="E167" s="1" t="str">
        <f>VLOOKUP(B167,'NOVACART DATA'!$B$2:$M$1001,5,FALSE)</f>
        <v>Email</v>
      </c>
      <c r="F167" s="1">
        <v>1</v>
      </c>
      <c r="G167" s="1">
        <v>21.24</v>
      </c>
      <c r="H167" s="1">
        <v>0</v>
      </c>
      <c r="I167" s="17">
        <f t="shared" si="2"/>
        <v>21.24</v>
      </c>
      <c r="J167" s="1">
        <f>VLOOKUP(B167,'NOVACART DATA'!$B$2:$N$1001,13,FALSE)</f>
        <v>0</v>
      </c>
    </row>
    <row r="168" spans="1:10">
      <c r="A168" s="2">
        <f>VLOOKUP(B168,CHOOSE({1,2},'NOVACART DATA'!$B$2:$B$1001,'NOVACART DATA'!$A$2:$A$1001),2,FALSE)</f>
        <v>46266</v>
      </c>
      <c r="B168" s="1">
        <v>1382</v>
      </c>
      <c r="C168" s="1">
        <f>VLOOKUP(B168,'NOVACART DATA'!$B$2:$C$1000,2,FALSE)</f>
        <v>23</v>
      </c>
      <c r="D168" s="1">
        <v>5</v>
      </c>
      <c r="E168" s="1" t="str">
        <f>VLOOKUP(B168,'NOVACART DATA'!$B$2:$M$1001,5,FALSE)</f>
        <v>Email</v>
      </c>
      <c r="F168" s="1">
        <v>1</v>
      </c>
      <c r="G168" s="1">
        <v>42.53</v>
      </c>
      <c r="H168" s="1">
        <v>0</v>
      </c>
      <c r="I168" s="17">
        <f t="shared" si="2"/>
        <v>42.53</v>
      </c>
      <c r="J168" s="1">
        <f>VLOOKUP(B168,'NOVACART DATA'!$B$2:$N$1001,13,FALSE)</f>
        <v>0</v>
      </c>
    </row>
    <row r="169" spans="1:10">
      <c r="A169" s="2">
        <f>VLOOKUP(B169,CHOOSE({1,2},'NOVACART DATA'!$B$2:$B$1001,'NOVACART DATA'!$A$2:$A$1001),2,FALSE)</f>
        <v>45985</v>
      </c>
      <c r="B169" s="1">
        <v>1044</v>
      </c>
      <c r="C169" s="1">
        <f>VLOOKUP(B169,'NOVACART DATA'!$B$2:$C$1000,2,FALSE)</f>
        <v>5</v>
      </c>
      <c r="D169" s="1">
        <v>3</v>
      </c>
      <c r="E169" s="1" t="str">
        <f>VLOOKUP(B169,'NOVACART DATA'!$B$2:$M$1001,5,FALSE)</f>
        <v>Email</v>
      </c>
      <c r="F169" s="1">
        <v>1</v>
      </c>
      <c r="G169" s="1">
        <v>25.47</v>
      </c>
      <c r="H169" s="1">
        <v>0</v>
      </c>
      <c r="I169" s="17">
        <f t="shared" si="2"/>
        <v>25.47</v>
      </c>
      <c r="J169" s="1">
        <f>VLOOKUP(B169,'NOVACART DATA'!$B$2:$N$1001,13,FALSE)</f>
        <v>0</v>
      </c>
    </row>
    <row r="170" spans="1:10">
      <c r="A170" s="2">
        <f>VLOOKUP(B170,CHOOSE({1,2},'NOVACART DATA'!$B$2:$B$1001,'NOVACART DATA'!$A$2:$A$1001),2,FALSE)</f>
        <v>46046</v>
      </c>
      <c r="B170" s="1">
        <v>1425</v>
      </c>
      <c r="C170" s="1">
        <f>VLOOKUP(B170,'NOVACART DATA'!$B$2:$C$1000,2,FALSE)</f>
        <v>23</v>
      </c>
      <c r="D170" s="1">
        <v>25</v>
      </c>
      <c r="E170" s="1" t="str">
        <f>VLOOKUP(B170,'NOVACART DATA'!$B$2:$M$1001,5,FALSE)</f>
        <v>Email</v>
      </c>
      <c r="F170" s="1">
        <v>2</v>
      </c>
      <c r="G170" s="1">
        <v>38.869999999999997</v>
      </c>
      <c r="H170" s="1">
        <v>0</v>
      </c>
      <c r="I170" s="17">
        <f t="shared" si="2"/>
        <v>77.739999999999995</v>
      </c>
      <c r="J170" s="1">
        <f>VLOOKUP(B170,'NOVACART DATA'!$B$2:$N$1001,13,FALSE)</f>
        <v>0</v>
      </c>
    </row>
    <row r="171" spans="1:10">
      <c r="A171" s="2">
        <f>VLOOKUP(B171,CHOOSE({1,2},'NOVACART DATA'!$B$2:$B$1001,'NOVACART DATA'!$A$2:$A$1001),2,FALSE)</f>
        <v>45985</v>
      </c>
      <c r="B171" s="1">
        <v>1044</v>
      </c>
      <c r="C171" s="1">
        <f>VLOOKUP(B171,'NOVACART DATA'!$B$2:$C$1000,2,FALSE)</f>
        <v>5</v>
      </c>
      <c r="D171" s="1">
        <v>25</v>
      </c>
      <c r="E171" s="1" t="str">
        <f>VLOOKUP(B171,'NOVACART DATA'!$B$2:$M$1001,5,FALSE)</f>
        <v>Email</v>
      </c>
      <c r="F171" s="1">
        <v>1</v>
      </c>
      <c r="G171" s="1">
        <v>17.78</v>
      </c>
      <c r="H171" s="1">
        <v>0</v>
      </c>
      <c r="I171" s="17">
        <f t="shared" si="2"/>
        <v>17.78</v>
      </c>
      <c r="J171" s="1">
        <f>VLOOKUP(B171,'NOVACART DATA'!$B$2:$N$1001,13,FALSE)</f>
        <v>0</v>
      </c>
    </row>
    <row r="172" spans="1:10">
      <c r="A172" s="2">
        <f>VLOOKUP(B172,CHOOSE({1,2},'NOVACART DATA'!$B$2:$B$1001,'NOVACART DATA'!$A$2:$A$1001),2,FALSE)</f>
        <v>46046</v>
      </c>
      <c r="B172" s="1">
        <v>1425</v>
      </c>
      <c r="C172" s="1">
        <f>VLOOKUP(B172,'NOVACART DATA'!$B$2:$C$1000,2,FALSE)</f>
        <v>23</v>
      </c>
      <c r="D172" s="1">
        <v>10</v>
      </c>
      <c r="E172" s="1" t="str">
        <f>VLOOKUP(B172,'NOVACART DATA'!$B$2:$M$1001,5,FALSE)</f>
        <v>Email</v>
      </c>
      <c r="F172" s="1">
        <v>1</v>
      </c>
      <c r="G172" s="1">
        <v>62.68</v>
      </c>
      <c r="H172" s="1">
        <v>0</v>
      </c>
      <c r="I172" s="17">
        <f t="shared" si="2"/>
        <v>62.68</v>
      </c>
      <c r="J172" s="1">
        <f>VLOOKUP(B172,'NOVACART DATA'!$B$2:$N$1001,13,FALSE)</f>
        <v>0</v>
      </c>
    </row>
    <row r="173" spans="1:10">
      <c r="A173" s="2">
        <f>VLOOKUP(B173,CHOOSE({1,2},'NOVACART DATA'!$B$2:$B$1001,'NOVACART DATA'!$A$2:$A$1001),2,FALSE)</f>
        <v>46266</v>
      </c>
      <c r="B173" s="1">
        <v>1382</v>
      </c>
      <c r="C173" s="1">
        <f>VLOOKUP(B173,'NOVACART DATA'!$B$2:$C$1000,2,FALSE)</f>
        <v>23</v>
      </c>
      <c r="D173" s="1">
        <v>30</v>
      </c>
      <c r="E173" s="1" t="str">
        <f>VLOOKUP(B173,'NOVACART DATA'!$B$2:$M$1001,5,FALSE)</f>
        <v>Email</v>
      </c>
      <c r="F173" s="1">
        <v>1</v>
      </c>
      <c r="G173" s="1">
        <v>41.49</v>
      </c>
      <c r="H173" s="1">
        <v>0</v>
      </c>
      <c r="I173" s="17">
        <f t="shared" si="2"/>
        <v>41.49</v>
      </c>
      <c r="J173" s="1">
        <f>VLOOKUP(B173,'NOVACART DATA'!$B$2:$N$1001,13,FALSE)</f>
        <v>0</v>
      </c>
    </row>
    <row r="174" spans="1:10">
      <c r="A174" s="2">
        <f>VLOOKUP(B174,CHOOSE({1,2},'NOVACART DATA'!$B$2:$B$1001,'NOVACART DATA'!$A$2:$A$1001),2,FALSE)</f>
        <v>45911</v>
      </c>
      <c r="B174" s="1">
        <v>1095</v>
      </c>
      <c r="C174" s="1">
        <f>VLOOKUP(B174,'NOVACART DATA'!$B$2:$C$1000,2,FALSE)</f>
        <v>24</v>
      </c>
      <c r="D174" s="1">
        <v>19</v>
      </c>
      <c r="E174" s="1" t="str">
        <f>VLOOKUP(B174,'NOVACART DATA'!$B$2:$M$1001,5,FALSE)</f>
        <v>Email</v>
      </c>
      <c r="F174" s="1">
        <v>1</v>
      </c>
      <c r="G174" s="1">
        <v>50.14</v>
      </c>
      <c r="H174" s="1">
        <v>0</v>
      </c>
      <c r="I174" s="17">
        <f t="shared" si="2"/>
        <v>50.14</v>
      </c>
      <c r="J174" s="1">
        <f>VLOOKUP(B174,'NOVACART DATA'!$B$2:$N$1001,13,FALSE)</f>
        <v>0</v>
      </c>
    </row>
    <row r="175" spans="1:10">
      <c r="A175" s="2">
        <f>VLOOKUP(B175,CHOOSE({1,2},'NOVACART DATA'!$B$2:$B$1001,'NOVACART DATA'!$A$2:$A$1001),2,FALSE)</f>
        <v>45985</v>
      </c>
      <c r="B175" s="1">
        <v>1044</v>
      </c>
      <c r="C175" s="1">
        <f>VLOOKUP(B175,'NOVACART DATA'!$B$2:$C$1000,2,FALSE)</f>
        <v>5</v>
      </c>
      <c r="D175" s="1">
        <v>26</v>
      </c>
      <c r="E175" s="1" t="str">
        <f>VLOOKUP(B175,'NOVACART DATA'!$B$2:$M$1001,5,FALSE)</f>
        <v>Email</v>
      </c>
      <c r="F175" s="1">
        <v>1</v>
      </c>
      <c r="G175" s="1">
        <v>31.76</v>
      </c>
      <c r="H175" s="1">
        <v>0</v>
      </c>
      <c r="I175" s="17">
        <f t="shared" si="2"/>
        <v>31.76</v>
      </c>
      <c r="J175" s="1">
        <f>VLOOKUP(B175,'NOVACART DATA'!$B$2:$N$1001,13,FALSE)</f>
        <v>0</v>
      </c>
    </row>
    <row r="176" spans="1:10">
      <c r="A176" s="2">
        <f>VLOOKUP(B176,CHOOSE({1,2},'NOVACART DATA'!$B$2:$B$1001,'NOVACART DATA'!$A$2:$A$1001),2,FALSE)</f>
        <v>45911</v>
      </c>
      <c r="B176" s="1">
        <v>1095</v>
      </c>
      <c r="C176" s="1">
        <f>VLOOKUP(B176,'NOVACART DATA'!$B$2:$C$1000,2,FALSE)</f>
        <v>24</v>
      </c>
      <c r="D176" s="1">
        <v>17</v>
      </c>
      <c r="E176" s="1" t="str">
        <f>VLOOKUP(B176,'NOVACART DATA'!$B$2:$M$1001,5,FALSE)</f>
        <v>Email</v>
      </c>
      <c r="F176" s="1">
        <v>1</v>
      </c>
      <c r="G176" s="1">
        <v>6.61</v>
      </c>
      <c r="H176" s="1">
        <v>0</v>
      </c>
      <c r="I176" s="17">
        <f t="shared" si="2"/>
        <v>6.61</v>
      </c>
      <c r="J176" s="1">
        <f>VLOOKUP(B176,'NOVACART DATA'!$B$2:$N$1001,13,FALSE)</f>
        <v>0</v>
      </c>
    </row>
    <row r="177" spans="1:10">
      <c r="A177" s="2">
        <f>VLOOKUP(B177,CHOOSE({1,2},'NOVACART DATA'!$B$2:$B$1001,'NOVACART DATA'!$A$2:$A$1001),2,FALSE)</f>
        <v>45911</v>
      </c>
      <c r="B177" s="1">
        <v>1095</v>
      </c>
      <c r="C177" s="1">
        <f>VLOOKUP(B177,'NOVACART DATA'!$B$2:$C$1000,2,FALSE)</f>
        <v>24</v>
      </c>
      <c r="D177" s="1">
        <v>5</v>
      </c>
      <c r="E177" s="1" t="str">
        <f>VLOOKUP(B177,'NOVACART DATA'!$B$2:$M$1001,5,FALSE)</f>
        <v>Email</v>
      </c>
      <c r="F177" s="1">
        <v>2</v>
      </c>
      <c r="G177" s="1">
        <v>42.53</v>
      </c>
      <c r="H177" s="1">
        <v>0</v>
      </c>
      <c r="I177" s="17">
        <f t="shared" si="2"/>
        <v>85.06</v>
      </c>
      <c r="J177" s="1">
        <f>VLOOKUP(B177,'NOVACART DATA'!$B$2:$N$1001,13,FALSE)</f>
        <v>0</v>
      </c>
    </row>
    <row r="178" spans="1:10">
      <c r="A178" s="2">
        <f>VLOOKUP(B178,CHOOSE({1,2},'NOVACART DATA'!$B$2:$B$1001,'NOVACART DATA'!$A$2:$A$1001),2,FALSE)</f>
        <v>46015</v>
      </c>
      <c r="B178" s="1">
        <v>1317</v>
      </c>
      <c r="C178" s="1">
        <f>VLOOKUP(B178,'NOVACART DATA'!$B$2:$C$1000,2,FALSE)</f>
        <v>24</v>
      </c>
      <c r="D178" s="1">
        <v>21</v>
      </c>
      <c r="E178" s="1" t="str">
        <f>VLOOKUP(B178,'NOVACART DATA'!$B$2:$M$1001,5,FALSE)</f>
        <v>Email</v>
      </c>
      <c r="F178" s="1">
        <v>1</v>
      </c>
      <c r="G178" s="1">
        <v>49.37</v>
      </c>
      <c r="H178" s="1">
        <v>5.5</v>
      </c>
      <c r="I178" s="17">
        <f t="shared" si="2"/>
        <v>46.654649999999997</v>
      </c>
      <c r="J178" s="1">
        <f>VLOOKUP(B178,'NOVACART DATA'!$B$2:$N$1001,13,FALSE)</f>
        <v>0</v>
      </c>
    </row>
    <row r="179" spans="1:10">
      <c r="A179" s="2">
        <f>VLOOKUP(B179,CHOOSE({1,2},'NOVACART DATA'!$B$2:$B$1001,'NOVACART DATA'!$A$2:$A$1001),2,FALSE)</f>
        <v>46015</v>
      </c>
      <c r="B179" s="1">
        <v>1317</v>
      </c>
      <c r="C179" s="1">
        <f>VLOOKUP(B179,'NOVACART DATA'!$B$2:$C$1000,2,FALSE)</f>
        <v>24</v>
      </c>
      <c r="D179" s="1">
        <v>12</v>
      </c>
      <c r="E179" s="1" t="str">
        <f>VLOOKUP(B179,'NOVACART DATA'!$B$2:$M$1001,5,FALSE)</f>
        <v>Email</v>
      </c>
      <c r="F179" s="1">
        <v>1</v>
      </c>
      <c r="G179" s="1">
        <v>8.4499999999999993</v>
      </c>
      <c r="H179" s="1">
        <v>0</v>
      </c>
      <c r="I179" s="17">
        <f t="shared" si="2"/>
        <v>8.4499999999999993</v>
      </c>
      <c r="J179" s="1">
        <f>VLOOKUP(B179,'NOVACART DATA'!$B$2:$N$1001,13,FALSE)</f>
        <v>0</v>
      </c>
    </row>
    <row r="180" spans="1:10">
      <c r="A180" s="2">
        <f>VLOOKUP(B180,CHOOSE({1,2},'NOVACART DATA'!$B$2:$B$1001,'NOVACART DATA'!$A$2:$A$1001),2,FALSE)</f>
        <v>46015</v>
      </c>
      <c r="B180" s="1">
        <v>1317</v>
      </c>
      <c r="C180" s="1">
        <f>VLOOKUP(B180,'NOVACART DATA'!$B$2:$C$1000,2,FALSE)</f>
        <v>24</v>
      </c>
      <c r="D180" s="1">
        <v>35</v>
      </c>
      <c r="E180" s="1" t="str">
        <f>VLOOKUP(B180,'NOVACART DATA'!$B$2:$M$1001,5,FALSE)</f>
        <v>Email</v>
      </c>
      <c r="F180" s="1">
        <v>1</v>
      </c>
      <c r="G180" s="1">
        <v>11.3</v>
      </c>
      <c r="H180" s="1">
        <v>0</v>
      </c>
      <c r="I180" s="17">
        <f t="shared" si="2"/>
        <v>11.3</v>
      </c>
      <c r="J180" s="1">
        <f>VLOOKUP(B180,'NOVACART DATA'!$B$2:$N$1001,13,FALSE)</f>
        <v>0</v>
      </c>
    </row>
    <row r="181" spans="1:10">
      <c r="A181" s="2">
        <f>VLOOKUP(B181,CHOOSE({1,2},'NOVACART DATA'!$B$2:$B$1001,'NOVACART DATA'!$A$2:$A$1001),2,FALSE)</f>
        <v>46020</v>
      </c>
      <c r="B181" s="1">
        <v>1348</v>
      </c>
      <c r="C181" s="1">
        <f>VLOOKUP(B181,'NOVACART DATA'!$B$2:$C$1000,2,FALSE)</f>
        <v>24</v>
      </c>
      <c r="D181" s="1">
        <v>36</v>
      </c>
      <c r="E181" s="1" t="str">
        <f>VLOOKUP(B181,'NOVACART DATA'!$B$2:$M$1001,5,FALSE)</f>
        <v>Email</v>
      </c>
      <c r="F181" s="1">
        <v>1</v>
      </c>
      <c r="G181" s="1">
        <v>23.23</v>
      </c>
      <c r="H181" s="1">
        <v>0</v>
      </c>
      <c r="I181" s="17">
        <f t="shared" si="2"/>
        <v>23.23</v>
      </c>
      <c r="J181" s="1">
        <f>VLOOKUP(B181,'NOVACART DATA'!$B$2:$N$1001,13,FALSE)</f>
        <v>0</v>
      </c>
    </row>
    <row r="182" spans="1:10">
      <c r="A182" s="2">
        <f>VLOOKUP(B182,CHOOSE({1,2},'NOVACART DATA'!$B$2:$B$1001,'NOVACART DATA'!$A$2:$A$1001),2,FALSE)</f>
        <v>46080</v>
      </c>
      <c r="B182" s="1">
        <v>1535</v>
      </c>
      <c r="C182" s="1">
        <f>VLOOKUP(B182,'NOVACART DATA'!$B$2:$C$1000,2,FALSE)</f>
        <v>24</v>
      </c>
      <c r="D182" s="1">
        <v>15</v>
      </c>
      <c r="E182" s="1" t="str">
        <f>VLOOKUP(B182,'NOVACART DATA'!$B$2:$M$1001,5,FALSE)</f>
        <v>Email</v>
      </c>
      <c r="F182" s="1">
        <v>1</v>
      </c>
      <c r="G182" s="1">
        <v>47.71</v>
      </c>
      <c r="H182" s="1">
        <v>0</v>
      </c>
      <c r="I182" s="17">
        <f t="shared" si="2"/>
        <v>47.71</v>
      </c>
      <c r="J182" s="1">
        <f>VLOOKUP(B182,'NOVACART DATA'!$B$2:$N$1001,13,FALSE)</f>
        <v>0</v>
      </c>
    </row>
    <row r="183" spans="1:10">
      <c r="A183" s="2">
        <f>VLOOKUP(B183,CHOOSE({1,2},'NOVACART DATA'!$B$2:$B$1001,'NOVACART DATA'!$A$2:$A$1001),2,FALSE)</f>
        <v>46080</v>
      </c>
      <c r="B183" s="1">
        <v>1535</v>
      </c>
      <c r="C183" s="1">
        <f>VLOOKUP(B183,'NOVACART DATA'!$B$2:$C$1000,2,FALSE)</f>
        <v>24</v>
      </c>
      <c r="D183" s="1">
        <v>19</v>
      </c>
      <c r="E183" s="1" t="str">
        <f>VLOOKUP(B183,'NOVACART DATA'!$B$2:$M$1001,5,FALSE)</f>
        <v>Email</v>
      </c>
      <c r="F183" s="1">
        <v>2</v>
      </c>
      <c r="G183" s="1">
        <v>50.14</v>
      </c>
      <c r="H183" s="1">
        <v>0</v>
      </c>
      <c r="I183" s="17">
        <f t="shared" si="2"/>
        <v>100.28</v>
      </c>
      <c r="J183" s="1">
        <f>VLOOKUP(B183,'NOVACART DATA'!$B$2:$N$1001,13,FALSE)</f>
        <v>0</v>
      </c>
    </row>
    <row r="184" spans="1:10">
      <c r="A184" s="2">
        <f>VLOOKUP(B184,CHOOSE({1,2},'NOVACART DATA'!$B$2:$B$1001,'NOVACART DATA'!$A$2:$A$1001),2,FALSE)</f>
        <v>46080</v>
      </c>
      <c r="B184" s="1">
        <v>1535</v>
      </c>
      <c r="C184" s="1">
        <f>VLOOKUP(B184,'NOVACART DATA'!$B$2:$C$1000,2,FALSE)</f>
        <v>24</v>
      </c>
      <c r="D184" s="1">
        <v>27</v>
      </c>
      <c r="E184" s="1" t="str">
        <f>VLOOKUP(B184,'NOVACART DATA'!$B$2:$M$1001,5,FALSE)</f>
        <v>Email</v>
      </c>
      <c r="F184" s="1">
        <v>1</v>
      </c>
      <c r="G184" s="1">
        <v>27.3</v>
      </c>
      <c r="H184" s="1">
        <v>5.5</v>
      </c>
      <c r="I184" s="17">
        <f t="shared" si="2"/>
        <v>25.798500000000001</v>
      </c>
      <c r="J184" s="1">
        <f>VLOOKUP(B184,'NOVACART DATA'!$B$2:$N$1001,13,FALSE)</f>
        <v>0</v>
      </c>
    </row>
    <row r="185" spans="1:10">
      <c r="A185" s="2">
        <f>VLOOKUP(B185,CHOOSE({1,2},'NOVACART DATA'!$B$2:$B$1001,'NOVACART DATA'!$A$2:$A$1001),2,FALSE)</f>
        <v>46080</v>
      </c>
      <c r="B185" s="1">
        <v>1535</v>
      </c>
      <c r="C185" s="1">
        <f>VLOOKUP(B185,'NOVACART DATA'!$B$2:$C$1000,2,FALSE)</f>
        <v>24</v>
      </c>
      <c r="D185" s="1">
        <v>27</v>
      </c>
      <c r="E185" s="1" t="str">
        <f>VLOOKUP(B185,'NOVACART DATA'!$B$2:$M$1001,5,FALSE)</f>
        <v>Email</v>
      </c>
      <c r="F185" s="1">
        <v>3</v>
      </c>
      <c r="G185" s="1">
        <v>27.3</v>
      </c>
      <c r="H185" s="1">
        <v>0</v>
      </c>
      <c r="I185" s="17">
        <f t="shared" si="2"/>
        <v>81.900000000000006</v>
      </c>
      <c r="J185" s="1">
        <f>VLOOKUP(B185,'NOVACART DATA'!$B$2:$N$1001,13,FALSE)</f>
        <v>0</v>
      </c>
    </row>
    <row r="186" spans="1:10">
      <c r="A186" s="2">
        <f>VLOOKUP(B186,CHOOSE({1,2},'NOVACART DATA'!$B$2:$B$1001,'NOVACART DATA'!$A$2:$A$1001),2,FALSE)</f>
        <v>46020</v>
      </c>
      <c r="B186" s="1">
        <v>1348</v>
      </c>
      <c r="C186" s="1">
        <f>VLOOKUP(B186,'NOVACART DATA'!$B$2:$C$1000,2,FALSE)</f>
        <v>24</v>
      </c>
      <c r="D186" s="1">
        <v>18</v>
      </c>
      <c r="E186" s="1" t="str">
        <f>VLOOKUP(B186,'NOVACART DATA'!$B$2:$M$1001,5,FALSE)</f>
        <v>Email</v>
      </c>
      <c r="F186" s="1">
        <v>1</v>
      </c>
      <c r="G186" s="1">
        <v>44.01</v>
      </c>
      <c r="H186" s="1">
        <v>0</v>
      </c>
      <c r="I186" s="17">
        <f t="shared" si="2"/>
        <v>44.01</v>
      </c>
      <c r="J186" s="1">
        <f>VLOOKUP(B186,'NOVACART DATA'!$B$2:$N$1001,13,FALSE)</f>
        <v>0</v>
      </c>
    </row>
    <row r="187" spans="1:10">
      <c r="A187" s="2">
        <f>VLOOKUP(B187,CHOOSE({1,2},'NOVACART DATA'!$B$2:$B$1001,'NOVACART DATA'!$A$2:$A$1001),2,FALSE)</f>
        <v>45955</v>
      </c>
      <c r="B187" s="1">
        <v>1048</v>
      </c>
      <c r="C187" s="1">
        <f>VLOOKUP(B187,'NOVACART DATA'!$B$2:$C$1000,2,FALSE)</f>
        <v>25</v>
      </c>
      <c r="D187" s="1">
        <v>31</v>
      </c>
      <c r="E187" s="1" t="str">
        <f>VLOOKUP(B187,'NOVACART DATA'!$B$2:$M$1001,5,FALSE)</f>
        <v>Social</v>
      </c>
      <c r="F187" s="1">
        <v>1</v>
      </c>
      <c r="G187" s="1">
        <v>38.869999999999997</v>
      </c>
      <c r="H187" s="1">
        <v>0</v>
      </c>
      <c r="I187" s="17">
        <f t="shared" si="2"/>
        <v>38.869999999999997</v>
      </c>
      <c r="J187" s="1">
        <f>VLOOKUP(B187,'NOVACART DATA'!$B$2:$N$1001,13,FALSE)</f>
        <v>0</v>
      </c>
    </row>
    <row r="188" spans="1:10">
      <c r="A188" s="2">
        <f>VLOOKUP(B188,CHOOSE({1,2},'NOVACART DATA'!$B$2:$B$1001,'NOVACART DATA'!$A$2:$A$1001),2,FALSE)</f>
        <v>45955</v>
      </c>
      <c r="B188" s="1">
        <v>1048</v>
      </c>
      <c r="C188" s="1">
        <f>VLOOKUP(B188,'NOVACART DATA'!$B$2:$C$1000,2,FALSE)</f>
        <v>25</v>
      </c>
      <c r="D188" s="1">
        <v>22</v>
      </c>
      <c r="E188" s="1" t="str">
        <f>VLOOKUP(B188,'NOVACART DATA'!$B$2:$M$1001,5,FALSE)</f>
        <v>Social</v>
      </c>
      <c r="F188" s="1">
        <v>1</v>
      </c>
      <c r="G188" s="1">
        <v>29.98</v>
      </c>
      <c r="H188" s="1">
        <v>0</v>
      </c>
      <c r="I188" s="17">
        <f t="shared" si="2"/>
        <v>29.98</v>
      </c>
      <c r="J188" s="1">
        <f>VLOOKUP(B188,'NOVACART DATA'!$B$2:$N$1001,13,FALSE)</f>
        <v>0</v>
      </c>
    </row>
    <row r="189" spans="1:10">
      <c r="A189" s="2">
        <f>VLOOKUP(B189,CHOOSE({1,2},'NOVACART DATA'!$B$2:$B$1001,'NOVACART DATA'!$A$2:$A$1001),2,FALSE)</f>
        <v>45987</v>
      </c>
      <c r="B189" s="1">
        <v>1179</v>
      </c>
      <c r="C189" s="1">
        <f>VLOOKUP(B189,'NOVACART DATA'!$B$2:$C$1000,2,FALSE)</f>
        <v>25</v>
      </c>
      <c r="D189" s="1">
        <v>3</v>
      </c>
      <c r="E189" s="1" t="str">
        <f>VLOOKUP(B189,'NOVACART DATA'!$B$2:$M$1001,5,FALSE)</f>
        <v>Social</v>
      </c>
      <c r="F189" s="1">
        <v>2</v>
      </c>
      <c r="G189" s="1">
        <v>25.47</v>
      </c>
      <c r="H189" s="1">
        <v>15</v>
      </c>
      <c r="I189" s="17">
        <f t="shared" si="2"/>
        <v>43.298999999999999</v>
      </c>
      <c r="J189" s="1">
        <f>VLOOKUP(B189,'NOVACART DATA'!$B$2:$N$1001,13,FALSE)</f>
        <v>0</v>
      </c>
    </row>
    <row r="190" spans="1:10">
      <c r="A190" s="2">
        <f>VLOOKUP(B190,CHOOSE({1,2},'NOVACART DATA'!$B$2:$B$1001,'NOVACART DATA'!$A$2:$A$1001),2,FALSE)</f>
        <v>46003</v>
      </c>
      <c r="B190" s="1">
        <v>1262</v>
      </c>
      <c r="C190" s="1">
        <f>VLOOKUP(B190,'NOVACART DATA'!$B$2:$C$1000,2,FALSE)</f>
        <v>25</v>
      </c>
      <c r="D190" s="1">
        <v>36</v>
      </c>
      <c r="E190" s="1" t="str">
        <f>VLOOKUP(B190,'NOVACART DATA'!$B$2:$M$1001,5,FALSE)</f>
        <v>Social</v>
      </c>
      <c r="F190" s="1">
        <v>1</v>
      </c>
      <c r="G190" s="1">
        <v>23.23</v>
      </c>
      <c r="H190" s="1">
        <v>0</v>
      </c>
      <c r="I190" s="17">
        <f t="shared" si="2"/>
        <v>23.23</v>
      </c>
      <c r="J190" s="1">
        <f>VLOOKUP(B190,'NOVACART DATA'!$B$2:$N$1001,13,FALSE)</f>
        <v>0</v>
      </c>
    </row>
    <row r="191" spans="1:10">
      <c r="A191" s="2">
        <f>VLOOKUP(B191,CHOOSE({1,2},'NOVACART DATA'!$B$2:$B$1001,'NOVACART DATA'!$A$2:$A$1001),2,FALSE)</f>
        <v>46003</v>
      </c>
      <c r="B191" s="1">
        <v>1262</v>
      </c>
      <c r="C191" s="1">
        <f>VLOOKUP(B191,'NOVACART DATA'!$B$2:$C$1000,2,FALSE)</f>
        <v>25</v>
      </c>
      <c r="D191" s="1">
        <v>35</v>
      </c>
      <c r="E191" s="1" t="str">
        <f>VLOOKUP(B191,'NOVACART DATA'!$B$2:$M$1001,5,FALSE)</f>
        <v>Social</v>
      </c>
      <c r="F191" s="1">
        <v>2</v>
      </c>
      <c r="G191" s="1">
        <v>11.3</v>
      </c>
      <c r="H191" s="1">
        <v>0</v>
      </c>
      <c r="I191" s="17">
        <f t="shared" si="2"/>
        <v>22.6</v>
      </c>
      <c r="J191" s="1">
        <f>VLOOKUP(B191,'NOVACART DATA'!$B$2:$N$1001,13,FALSE)</f>
        <v>0</v>
      </c>
    </row>
    <row r="192" spans="1:10">
      <c r="A192" s="2">
        <f>VLOOKUP(B192,CHOOSE({1,2},'NOVACART DATA'!$B$2:$B$1001,'NOVACART DATA'!$A$2:$A$1001),2,FALSE)</f>
        <v>46075</v>
      </c>
      <c r="B192" s="1">
        <v>1517</v>
      </c>
      <c r="C192" s="1">
        <f>VLOOKUP(B192,'NOVACART DATA'!$B$2:$C$1000,2,FALSE)</f>
        <v>25</v>
      </c>
      <c r="D192" s="1">
        <v>34</v>
      </c>
      <c r="E192" s="1" t="str">
        <f>VLOOKUP(B192,'NOVACART DATA'!$B$2:$M$1001,5,FALSE)</f>
        <v>Social</v>
      </c>
      <c r="F192" s="1">
        <v>1</v>
      </c>
      <c r="G192" s="1">
        <v>58.26</v>
      </c>
      <c r="H192" s="1">
        <v>0</v>
      </c>
      <c r="I192" s="17">
        <f t="shared" si="2"/>
        <v>58.26</v>
      </c>
      <c r="J192" s="1">
        <f>VLOOKUP(B192,'NOVACART DATA'!$B$2:$N$1001,13,FALSE)</f>
        <v>0</v>
      </c>
    </row>
    <row r="193" spans="1:10">
      <c r="A193" s="2">
        <f>VLOOKUP(B193,CHOOSE({1,2},'NOVACART DATA'!$B$2:$B$1001,'NOVACART DATA'!$A$2:$A$1001),2,FALSE)</f>
        <v>45949</v>
      </c>
      <c r="B193" s="1">
        <v>1028</v>
      </c>
      <c r="C193" s="1">
        <f>VLOOKUP(B193,'NOVACART DATA'!$B$2:$C$1000,2,FALSE)</f>
        <v>26</v>
      </c>
      <c r="D193" s="1">
        <v>2</v>
      </c>
      <c r="E193" s="1" t="str">
        <f>VLOOKUP(B193,'NOVACART DATA'!$B$2:$M$1001,5,FALSE)</f>
        <v>Social</v>
      </c>
      <c r="F193" s="1">
        <v>1</v>
      </c>
      <c r="G193" s="1">
        <v>64.02</v>
      </c>
      <c r="H193" s="1">
        <v>0</v>
      </c>
      <c r="I193" s="17">
        <f t="shared" si="2"/>
        <v>64.02</v>
      </c>
      <c r="J193" s="1">
        <f>VLOOKUP(B193,'NOVACART DATA'!$B$2:$N$1001,13,FALSE)</f>
        <v>0</v>
      </c>
    </row>
    <row r="194" spans="1:10">
      <c r="A194" s="2">
        <f>VLOOKUP(B194,CHOOSE({1,2},'NOVACART DATA'!$B$2:$B$1001,'NOVACART DATA'!$A$2:$A$1001),2,FALSE)</f>
        <v>45991</v>
      </c>
      <c r="B194" s="1">
        <v>1199</v>
      </c>
      <c r="C194" s="1">
        <f>VLOOKUP(B194,'NOVACART DATA'!$B$2:$C$1000,2,FALSE)</f>
        <v>26</v>
      </c>
      <c r="D194" s="1">
        <v>5</v>
      </c>
      <c r="E194" s="1" t="str">
        <f>VLOOKUP(B194,'NOVACART DATA'!$B$2:$M$1001,5,FALSE)</f>
        <v>Social</v>
      </c>
      <c r="F194" s="1">
        <v>1</v>
      </c>
      <c r="G194" s="1">
        <v>42.53</v>
      </c>
      <c r="H194" s="1">
        <v>0</v>
      </c>
      <c r="I194" s="17">
        <f t="shared" ref="I194:I257" si="3">F194*G194*(1-H194/100)</f>
        <v>42.53</v>
      </c>
      <c r="J194" s="1">
        <f>VLOOKUP(B194,'NOVACART DATA'!$B$2:$N$1001,13,FALSE)</f>
        <v>0</v>
      </c>
    </row>
    <row r="195" spans="1:10">
      <c r="A195" s="2">
        <f>VLOOKUP(B195,CHOOSE({1,2},'NOVACART DATA'!$B$2:$B$1001,'NOVACART DATA'!$A$2:$A$1001),2,FALSE)</f>
        <v>46204</v>
      </c>
      <c r="B195" s="1">
        <v>1375</v>
      </c>
      <c r="C195" s="1">
        <f>VLOOKUP(B195,'NOVACART DATA'!$B$2:$C$1000,2,FALSE)</f>
        <v>26</v>
      </c>
      <c r="D195" s="1">
        <v>5</v>
      </c>
      <c r="E195" s="1" t="str">
        <f>VLOOKUP(B195,'NOVACART DATA'!$B$2:$M$1001,5,FALSE)</f>
        <v>Social</v>
      </c>
      <c r="F195" s="1">
        <v>1</v>
      </c>
      <c r="G195" s="1">
        <v>42.53</v>
      </c>
      <c r="H195" s="1">
        <v>0</v>
      </c>
      <c r="I195" s="17">
        <f t="shared" si="3"/>
        <v>42.53</v>
      </c>
      <c r="J195" s="1">
        <f>VLOOKUP(B195,'NOVACART DATA'!$B$2:$N$1001,13,FALSE)</f>
        <v>0</v>
      </c>
    </row>
    <row r="196" spans="1:10">
      <c r="A196" s="2">
        <f>VLOOKUP(B196,CHOOSE({1,2},'NOVACART DATA'!$B$2:$B$1001,'NOVACART DATA'!$A$2:$A$1001),2,FALSE)</f>
        <v>45984</v>
      </c>
      <c r="B196" s="1">
        <v>1166</v>
      </c>
      <c r="C196" s="1">
        <f>VLOOKUP(B196,'NOVACART DATA'!$B$2:$C$1000,2,FALSE)</f>
        <v>27</v>
      </c>
      <c r="D196" s="1">
        <v>3</v>
      </c>
      <c r="E196" s="1" t="str">
        <f>VLOOKUP(B196,'NOVACART DATA'!$B$2:$M$1001,5,FALSE)</f>
        <v>Email</v>
      </c>
      <c r="F196" s="1">
        <v>1</v>
      </c>
      <c r="G196" s="1">
        <v>25.47</v>
      </c>
      <c r="H196" s="1">
        <v>0</v>
      </c>
      <c r="I196" s="17">
        <f t="shared" si="3"/>
        <v>25.47</v>
      </c>
      <c r="J196" s="1">
        <f>VLOOKUP(B196,'NOVACART DATA'!$B$2:$N$1001,13,FALSE)</f>
        <v>0</v>
      </c>
    </row>
    <row r="197" spans="1:10">
      <c r="A197" s="2">
        <f>VLOOKUP(B197,CHOOSE({1,2},'NOVACART DATA'!$B$2:$B$1001,'NOVACART DATA'!$A$2:$A$1001),2,FALSE)</f>
        <v>46082</v>
      </c>
      <c r="B197" s="1">
        <v>1368</v>
      </c>
      <c r="C197" s="1">
        <f>VLOOKUP(B197,'NOVACART DATA'!$B$2:$C$1000,2,FALSE)</f>
        <v>27</v>
      </c>
      <c r="D197" s="1">
        <v>39</v>
      </c>
      <c r="E197" s="1" t="str">
        <f>VLOOKUP(B197,'NOVACART DATA'!$B$2:$M$1001,5,FALSE)</f>
        <v>Email</v>
      </c>
      <c r="F197" s="1">
        <v>2</v>
      </c>
      <c r="G197" s="1">
        <v>39.979999999999997</v>
      </c>
      <c r="H197" s="1">
        <v>0</v>
      </c>
      <c r="I197" s="17">
        <f t="shared" si="3"/>
        <v>79.959999999999994</v>
      </c>
      <c r="J197" s="1">
        <f>VLOOKUP(B197,'NOVACART DATA'!$B$2:$N$1001,13,FALSE)</f>
        <v>0</v>
      </c>
    </row>
    <row r="198" spans="1:10">
      <c r="A198" s="2">
        <f>VLOOKUP(B198,CHOOSE({1,2},'NOVACART DATA'!$B$2:$B$1001,'NOVACART DATA'!$A$2:$A$1001),2,FALSE)</f>
        <v>45985</v>
      </c>
      <c r="B198" s="1">
        <v>1044</v>
      </c>
      <c r="C198" s="1">
        <f>VLOOKUP(B198,'NOVACART DATA'!$B$2:$C$1000,2,FALSE)</f>
        <v>5</v>
      </c>
      <c r="D198" s="1">
        <v>26</v>
      </c>
      <c r="E198" s="1" t="str">
        <f>VLOOKUP(B198,'NOVACART DATA'!$B$2:$M$1001,5,FALSE)</f>
        <v>Email</v>
      </c>
      <c r="F198" s="1">
        <v>1</v>
      </c>
      <c r="G198" s="1">
        <v>31.76</v>
      </c>
      <c r="H198" s="1">
        <v>0</v>
      </c>
      <c r="I198" s="17">
        <f t="shared" si="3"/>
        <v>31.76</v>
      </c>
      <c r="J198" s="1">
        <f>VLOOKUP(B198,'NOVACART DATA'!$B$2:$N$1001,13,FALSE)</f>
        <v>0</v>
      </c>
    </row>
    <row r="199" spans="1:10">
      <c r="A199" s="2">
        <f>VLOOKUP(B199,CHOOSE({1,2},'NOVACART DATA'!$B$2:$B$1001,'NOVACART DATA'!$A$2:$A$1001),2,FALSE)</f>
        <v>46018</v>
      </c>
      <c r="B199" s="1">
        <v>1336</v>
      </c>
      <c r="C199" s="1">
        <f>VLOOKUP(B199,'NOVACART DATA'!$B$2:$C$1000,2,FALSE)</f>
        <v>28</v>
      </c>
      <c r="D199" s="1">
        <v>28</v>
      </c>
      <c r="E199" s="1" t="str">
        <f>VLOOKUP(B199,'NOVACART DATA'!$B$2:$M$1001,5,FALSE)</f>
        <v>Email</v>
      </c>
      <c r="F199" s="1">
        <v>1</v>
      </c>
      <c r="G199" s="1">
        <v>21.24</v>
      </c>
      <c r="H199" s="1">
        <v>15</v>
      </c>
      <c r="I199" s="17">
        <f t="shared" si="3"/>
        <v>18.053999999999998</v>
      </c>
      <c r="J199" s="1">
        <f>VLOOKUP(B199,'NOVACART DATA'!$B$2:$N$1001,13,FALSE)</f>
        <v>0</v>
      </c>
    </row>
    <row r="200" spans="1:10">
      <c r="A200" s="2">
        <f>VLOOKUP(B200,CHOOSE({1,2},'NOVACART DATA'!$B$2:$B$1001,'NOVACART DATA'!$A$2:$A$1001),2,FALSE)</f>
        <v>46018</v>
      </c>
      <c r="B200" s="1">
        <v>1336</v>
      </c>
      <c r="C200" s="1">
        <f>VLOOKUP(B200,'NOVACART DATA'!$B$2:$C$1000,2,FALSE)</f>
        <v>28</v>
      </c>
      <c r="D200" s="1">
        <v>35</v>
      </c>
      <c r="E200" s="1" t="str">
        <f>VLOOKUP(B200,'NOVACART DATA'!$B$2:$M$1001,5,FALSE)</f>
        <v>Email</v>
      </c>
      <c r="F200" s="1">
        <v>2</v>
      </c>
      <c r="G200" s="1">
        <v>11.3</v>
      </c>
      <c r="H200" s="1">
        <v>25</v>
      </c>
      <c r="I200" s="17">
        <f t="shared" si="3"/>
        <v>16.950000000000003</v>
      </c>
      <c r="J200" s="1">
        <f>VLOOKUP(B200,'NOVACART DATA'!$B$2:$N$1001,13,FALSE)</f>
        <v>0</v>
      </c>
    </row>
    <row r="201" spans="1:10">
      <c r="A201" s="2">
        <f>VLOOKUP(B201,CHOOSE({1,2},'NOVACART DATA'!$B$2:$B$1001,'NOVACART DATA'!$A$2:$A$1001),2,FALSE)</f>
        <v>45961</v>
      </c>
      <c r="B201" s="1">
        <v>1058</v>
      </c>
      <c r="C201" s="1">
        <f>VLOOKUP(B201,'NOVACART DATA'!$B$2:$C$1000,2,FALSE)</f>
        <v>29</v>
      </c>
      <c r="D201" s="1">
        <v>14</v>
      </c>
      <c r="E201" s="1" t="str">
        <f>VLOOKUP(B201,'NOVACART DATA'!$B$2:$M$1001,5,FALSE)</f>
        <v>Organic</v>
      </c>
      <c r="F201" s="1">
        <v>2</v>
      </c>
      <c r="G201" s="1">
        <v>15.36</v>
      </c>
      <c r="H201" s="1">
        <v>0</v>
      </c>
      <c r="I201" s="17">
        <f t="shared" si="3"/>
        <v>30.72</v>
      </c>
      <c r="J201" s="1">
        <f>VLOOKUP(B201,'NOVACART DATA'!$B$2:$N$1001,13,FALSE)</f>
        <v>0</v>
      </c>
    </row>
    <row r="202" spans="1:10">
      <c r="A202" s="2">
        <f>VLOOKUP(B202,CHOOSE({1,2},'NOVACART DATA'!$B$2:$B$1001,'NOVACART DATA'!$A$2:$A$1001),2,FALSE)</f>
        <v>46357</v>
      </c>
      <c r="B202" s="1">
        <v>1395</v>
      </c>
      <c r="C202" s="1">
        <f>VLOOKUP(B202,'NOVACART DATA'!$B$2:$C$1000,2,FALSE)</f>
        <v>29</v>
      </c>
      <c r="D202" s="1">
        <v>38</v>
      </c>
      <c r="E202" s="1" t="str">
        <f>VLOOKUP(B202,'NOVACART DATA'!$B$2:$M$1001,5,FALSE)</f>
        <v>Organic</v>
      </c>
      <c r="F202" s="1">
        <v>3</v>
      </c>
      <c r="G202" s="1">
        <v>25.14</v>
      </c>
      <c r="H202" s="1">
        <v>0</v>
      </c>
      <c r="I202" s="17">
        <f t="shared" si="3"/>
        <v>75.42</v>
      </c>
      <c r="J202" s="1">
        <f>VLOOKUP(B202,'NOVACART DATA'!$B$2:$N$1001,13,FALSE)</f>
        <v>0</v>
      </c>
    </row>
    <row r="203" spans="1:10">
      <c r="A203" s="2">
        <f>VLOOKUP(B203,CHOOSE({1,2},'NOVACART DATA'!$B$2:$B$1001,'NOVACART DATA'!$A$2:$A$1001),2,FALSE)</f>
        <v>46357</v>
      </c>
      <c r="B203" s="1">
        <v>1395</v>
      </c>
      <c r="C203" s="1">
        <f>VLOOKUP(B203,'NOVACART DATA'!$B$2:$C$1000,2,FALSE)</f>
        <v>29</v>
      </c>
      <c r="D203" s="1">
        <v>2</v>
      </c>
      <c r="E203" s="1" t="str">
        <f>VLOOKUP(B203,'NOVACART DATA'!$B$2:$M$1001,5,FALSE)</f>
        <v>Organic</v>
      </c>
      <c r="F203" s="1">
        <v>1</v>
      </c>
      <c r="G203" s="1">
        <v>64.02</v>
      </c>
      <c r="H203" s="1">
        <v>0</v>
      </c>
      <c r="I203" s="17">
        <f t="shared" si="3"/>
        <v>64.02</v>
      </c>
      <c r="J203" s="1">
        <f>VLOOKUP(B203,'NOVACART DATA'!$B$2:$N$1001,13,FALSE)</f>
        <v>0</v>
      </c>
    </row>
    <row r="204" spans="1:10">
      <c r="A204" s="2">
        <f>VLOOKUP(B204,CHOOSE({1,2},'NOVACART DATA'!$B$2:$B$1001,'NOVACART DATA'!$A$2:$A$1001),2,FALSE)</f>
        <v>45972</v>
      </c>
      <c r="B204" s="1">
        <v>1110</v>
      </c>
      <c r="C204" s="1">
        <f>VLOOKUP(B204,'NOVACART DATA'!$B$2:$C$1000,2,FALSE)</f>
        <v>32</v>
      </c>
      <c r="D204" s="1">
        <v>13</v>
      </c>
      <c r="E204" s="1" t="str">
        <f>VLOOKUP(B204,'NOVACART DATA'!$B$2:$M$1001,5,FALSE)</f>
        <v>Organic</v>
      </c>
      <c r="F204" s="1">
        <v>1</v>
      </c>
      <c r="G204" s="1">
        <v>54.9</v>
      </c>
      <c r="H204" s="1">
        <v>5.5</v>
      </c>
      <c r="I204" s="17">
        <f t="shared" si="3"/>
        <v>51.880499999999998</v>
      </c>
      <c r="J204" s="1">
        <f>VLOOKUP(B204,'NOVACART DATA'!$B$2:$N$1001,13,FALSE)</f>
        <v>1</v>
      </c>
    </row>
    <row r="205" spans="1:10">
      <c r="A205" s="2">
        <f>VLOOKUP(B205,CHOOSE({1,2},'NOVACART DATA'!$B$2:$B$1001,'NOVACART DATA'!$A$2:$A$1001),2,FALSE)</f>
        <v>46018</v>
      </c>
      <c r="B205" s="1">
        <v>1337</v>
      </c>
      <c r="C205" s="1">
        <f>VLOOKUP(B205,'NOVACART DATA'!$B$2:$C$1000,2,FALSE)</f>
        <v>32</v>
      </c>
      <c r="D205" s="1">
        <v>30</v>
      </c>
      <c r="E205" s="1" t="str">
        <f>VLOOKUP(B205,'NOVACART DATA'!$B$2:$M$1001,5,FALSE)</f>
        <v>Organic</v>
      </c>
      <c r="F205" s="1">
        <v>3</v>
      </c>
      <c r="G205" s="1">
        <v>41.49</v>
      </c>
      <c r="H205" s="1">
        <v>15</v>
      </c>
      <c r="I205" s="17">
        <f t="shared" si="3"/>
        <v>105.79949999999999</v>
      </c>
      <c r="J205" s="1">
        <f>VLOOKUP(B205,'NOVACART DATA'!$B$2:$N$1001,13,FALSE)</f>
        <v>0</v>
      </c>
    </row>
    <row r="206" spans="1:10">
      <c r="A206" s="2">
        <f>VLOOKUP(B206,CHOOSE({1,2},'NOVACART DATA'!$B$2:$B$1001,'NOVACART DATA'!$A$2:$A$1001),2,FALSE)</f>
        <v>46041</v>
      </c>
      <c r="B206" s="1">
        <v>1416</v>
      </c>
      <c r="C206" s="1">
        <f>VLOOKUP(B206,'NOVACART DATA'!$B$2:$C$1000,2,FALSE)</f>
        <v>32</v>
      </c>
      <c r="D206" s="1">
        <v>12</v>
      </c>
      <c r="E206" s="1" t="str">
        <f>VLOOKUP(B206,'NOVACART DATA'!$B$2:$M$1001,5,FALSE)</f>
        <v>Organic</v>
      </c>
      <c r="F206" s="1">
        <v>1</v>
      </c>
      <c r="G206" s="1">
        <v>8.4499999999999993</v>
      </c>
      <c r="H206" s="1">
        <v>0</v>
      </c>
      <c r="I206" s="17">
        <f t="shared" si="3"/>
        <v>8.4499999999999993</v>
      </c>
      <c r="J206" s="1">
        <f>VLOOKUP(B206,'NOVACART DATA'!$B$2:$N$1001,13,FALSE)</f>
        <v>0</v>
      </c>
    </row>
    <row r="207" spans="1:10">
      <c r="A207" s="2">
        <f>VLOOKUP(B207,CHOOSE({1,2},'NOVACART DATA'!$B$2:$B$1001,'NOVACART DATA'!$A$2:$A$1001),2,FALSE)</f>
        <v>46041</v>
      </c>
      <c r="B207" s="1">
        <v>1416</v>
      </c>
      <c r="C207" s="1">
        <f>VLOOKUP(B207,'NOVACART DATA'!$B$2:$C$1000,2,FALSE)</f>
        <v>32</v>
      </c>
      <c r="D207" s="1">
        <v>11</v>
      </c>
      <c r="E207" s="1" t="str">
        <f>VLOOKUP(B207,'NOVACART DATA'!$B$2:$M$1001,5,FALSE)</f>
        <v>Organic</v>
      </c>
      <c r="F207" s="1">
        <v>1</v>
      </c>
      <c r="G207" s="1">
        <v>58.35</v>
      </c>
      <c r="H207" s="1">
        <v>0</v>
      </c>
      <c r="I207" s="17">
        <f t="shared" si="3"/>
        <v>58.35</v>
      </c>
      <c r="J207" s="1">
        <f>VLOOKUP(B207,'NOVACART DATA'!$B$2:$N$1001,13,FALSE)</f>
        <v>0</v>
      </c>
    </row>
    <row r="208" spans="1:10">
      <c r="A208" s="2">
        <f>VLOOKUP(B208,CHOOSE({1,2},'NOVACART DATA'!$B$2:$B$1001,'NOVACART DATA'!$A$2:$A$1001),2,FALSE)</f>
        <v>45850</v>
      </c>
      <c r="B208" s="1">
        <v>1235</v>
      </c>
      <c r="C208" s="1">
        <f>VLOOKUP(B208,'NOVACART DATA'!$B$2:$C$1000,2,FALSE)</f>
        <v>33</v>
      </c>
      <c r="D208" s="1">
        <v>36</v>
      </c>
      <c r="E208" s="1" t="str">
        <f>VLOOKUP(B208,'NOVACART DATA'!$B$2:$M$1001,5,FALSE)</f>
        <v>Email</v>
      </c>
      <c r="F208" s="1">
        <v>1</v>
      </c>
      <c r="G208" s="1">
        <v>23.23</v>
      </c>
      <c r="H208" s="1">
        <v>20</v>
      </c>
      <c r="I208" s="17">
        <f t="shared" si="3"/>
        <v>18.584</v>
      </c>
      <c r="J208" s="1">
        <f>VLOOKUP(B208,'NOVACART DATA'!$B$2:$N$1001,13,FALSE)</f>
        <v>0</v>
      </c>
    </row>
    <row r="209" spans="1:10">
      <c r="A209" s="2">
        <f>VLOOKUP(B209,CHOOSE({1,2},'NOVACART DATA'!$B$2:$B$1001,'NOVACART DATA'!$A$2:$A$1001),2,FALSE)</f>
        <v>45942</v>
      </c>
      <c r="B209" s="1">
        <v>1247</v>
      </c>
      <c r="C209" s="1">
        <f>VLOOKUP(B209,'NOVACART DATA'!$B$2:$C$1000,2,FALSE)</f>
        <v>33</v>
      </c>
      <c r="D209" s="1">
        <v>36</v>
      </c>
      <c r="E209" s="1" t="str">
        <f>VLOOKUP(B209,'NOVACART DATA'!$B$2:$M$1001,5,FALSE)</f>
        <v>Email</v>
      </c>
      <c r="F209" s="1">
        <v>1</v>
      </c>
      <c r="G209" s="1">
        <v>23.23</v>
      </c>
      <c r="H209" s="1">
        <v>10</v>
      </c>
      <c r="I209" s="17">
        <f t="shared" si="3"/>
        <v>20.907</v>
      </c>
      <c r="J209" s="1">
        <f>VLOOKUP(B209,'NOVACART DATA'!$B$2:$N$1001,13,FALSE)</f>
        <v>0</v>
      </c>
    </row>
    <row r="210" spans="1:10">
      <c r="A210" s="2">
        <f>VLOOKUP(B210,CHOOSE({1,2},'NOVACART DATA'!$B$2:$B$1001,'NOVACART DATA'!$A$2:$A$1001),2,FALSE)</f>
        <v>45942</v>
      </c>
      <c r="B210" s="1">
        <v>1247</v>
      </c>
      <c r="C210" s="1">
        <f>VLOOKUP(B210,'NOVACART DATA'!$B$2:$C$1000,2,FALSE)</f>
        <v>33</v>
      </c>
      <c r="D210" s="1">
        <v>9</v>
      </c>
      <c r="E210" s="1" t="str">
        <f>VLOOKUP(B210,'NOVACART DATA'!$B$2:$M$1001,5,FALSE)</f>
        <v>Email</v>
      </c>
      <c r="F210" s="1">
        <v>1</v>
      </c>
      <c r="G210" s="1">
        <v>20.69</v>
      </c>
      <c r="H210" s="1">
        <v>25</v>
      </c>
      <c r="I210" s="17">
        <f t="shared" si="3"/>
        <v>15.517500000000002</v>
      </c>
      <c r="J210" s="1">
        <f>VLOOKUP(B210,'NOVACART DATA'!$B$2:$N$1001,13,FALSE)</f>
        <v>0</v>
      </c>
    </row>
    <row r="211" spans="1:10">
      <c r="A211" s="2">
        <f>VLOOKUP(B211,CHOOSE({1,2},'NOVACART DATA'!$B$2:$B$1001,'NOVACART DATA'!$A$2:$A$1001),2,FALSE)</f>
        <v>45942</v>
      </c>
      <c r="B211" s="1">
        <v>1247</v>
      </c>
      <c r="C211" s="1">
        <f>VLOOKUP(B211,'NOVACART DATA'!$B$2:$C$1000,2,FALSE)</f>
        <v>33</v>
      </c>
      <c r="D211" s="1">
        <v>9</v>
      </c>
      <c r="E211" s="1" t="str">
        <f>VLOOKUP(B211,'NOVACART DATA'!$B$2:$M$1001,5,FALSE)</f>
        <v>Email</v>
      </c>
      <c r="F211" s="1">
        <v>1</v>
      </c>
      <c r="G211" s="1">
        <v>20.69</v>
      </c>
      <c r="H211" s="1">
        <v>20</v>
      </c>
      <c r="I211" s="17">
        <f t="shared" si="3"/>
        <v>16.552000000000003</v>
      </c>
      <c r="J211" s="1">
        <f>VLOOKUP(B211,'NOVACART DATA'!$B$2:$N$1001,13,FALSE)</f>
        <v>0</v>
      </c>
    </row>
    <row r="212" spans="1:10">
      <c r="A212" s="2">
        <f>VLOOKUP(B212,CHOOSE({1,2},'NOVACART DATA'!$B$2:$B$1001,'NOVACART DATA'!$A$2:$A$1001),2,FALSE)</f>
        <v>46039</v>
      </c>
      <c r="B212" s="1">
        <v>1408</v>
      </c>
      <c r="C212" s="1">
        <f>VLOOKUP(B212,'NOVACART DATA'!$B$2:$C$1000,2,FALSE)</f>
        <v>33</v>
      </c>
      <c r="D212" s="1">
        <v>6</v>
      </c>
      <c r="E212" s="1" t="str">
        <f>VLOOKUP(B212,'NOVACART DATA'!$B$2:$M$1001,5,FALSE)</f>
        <v>Email</v>
      </c>
      <c r="F212" s="1">
        <v>2</v>
      </c>
      <c r="G212" s="1">
        <v>70.47</v>
      </c>
      <c r="H212" s="1">
        <v>0</v>
      </c>
      <c r="I212" s="17">
        <f t="shared" si="3"/>
        <v>140.94</v>
      </c>
      <c r="J212" s="1">
        <f>VLOOKUP(B212,'NOVACART DATA'!$B$2:$N$1001,13,FALSE)</f>
        <v>0</v>
      </c>
    </row>
    <row r="213" spans="1:10">
      <c r="A213" s="2">
        <f>VLOOKUP(B213,CHOOSE({1,2},'NOVACART DATA'!$B$2:$B$1001,'NOVACART DATA'!$A$2:$A$1001),2,FALSE)</f>
        <v>46070</v>
      </c>
      <c r="B213" s="1">
        <v>1494</v>
      </c>
      <c r="C213" s="1">
        <f>VLOOKUP(B213,'NOVACART DATA'!$B$2:$C$1000,2,FALSE)</f>
        <v>33</v>
      </c>
      <c r="D213" s="1">
        <v>26</v>
      </c>
      <c r="E213" s="1" t="str">
        <f>VLOOKUP(B213,'NOVACART DATA'!$B$2:$M$1001,5,FALSE)</f>
        <v>Email</v>
      </c>
      <c r="F213" s="1">
        <v>2</v>
      </c>
      <c r="G213" s="1">
        <v>31.76</v>
      </c>
      <c r="H213" s="1">
        <v>0</v>
      </c>
      <c r="I213" s="17">
        <f t="shared" si="3"/>
        <v>63.52</v>
      </c>
      <c r="J213" s="1">
        <f>VLOOKUP(B213,'NOVACART DATA'!$B$2:$N$1001,13,FALSE)</f>
        <v>0</v>
      </c>
    </row>
    <row r="214" spans="1:10">
      <c r="A214" s="2">
        <f>VLOOKUP(B214,CHOOSE({1,2},'NOVACART DATA'!$B$2:$B$1001,'NOVACART DATA'!$A$2:$A$1001),2,FALSE)</f>
        <v>46070</v>
      </c>
      <c r="B214" s="1">
        <v>1494</v>
      </c>
      <c r="C214" s="1">
        <f>VLOOKUP(B214,'NOVACART DATA'!$B$2:$C$1000,2,FALSE)</f>
        <v>33</v>
      </c>
      <c r="D214" s="1">
        <v>9</v>
      </c>
      <c r="E214" s="1" t="str">
        <f>VLOOKUP(B214,'NOVACART DATA'!$B$2:$M$1001,5,FALSE)</f>
        <v>Email</v>
      </c>
      <c r="F214" s="1">
        <v>2</v>
      </c>
      <c r="G214" s="1">
        <v>20.69</v>
      </c>
      <c r="H214" s="1">
        <v>0</v>
      </c>
      <c r="I214" s="17">
        <f t="shared" si="3"/>
        <v>41.38</v>
      </c>
      <c r="J214" s="1">
        <f>VLOOKUP(B214,'NOVACART DATA'!$B$2:$N$1001,13,FALSE)</f>
        <v>0</v>
      </c>
    </row>
    <row r="215" spans="1:10">
      <c r="A215" s="2">
        <f>VLOOKUP(B215,CHOOSE({1,2},'NOVACART DATA'!$B$2:$B$1001,'NOVACART DATA'!$A$2:$A$1001),2,FALSE)</f>
        <v>46070</v>
      </c>
      <c r="B215" s="1">
        <v>1494</v>
      </c>
      <c r="C215" s="1">
        <f>VLOOKUP(B215,'NOVACART DATA'!$B$2:$C$1000,2,FALSE)</f>
        <v>33</v>
      </c>
      <c r="D215" s="1">
        <v>25</v>
      </c>
      <c r="E215" s="1" t="str">
        <f>VLOOKUP(B215,'NOVACART DATA'!$B$2:$M$1001,5,FALSE)</f>
        <v>Email</v>
      </c>
      <c r="F215" s="1">
        <v>1</v>
      </c>
      <c r="G215" s="1">
        <v>17.78</v>
      </c>
      <c r="H215" s="1">
        <v>0</v>
      </c>
      <c r="I215" s="17">
        <f t="shared" si="3"/>
        <v>17.78</v>
      </c>
      <c r="J215" s="1">
        <f>VLOOKUP(B215,'NOVACART DATA'!$B$2:$N$1001,13,FALSE)</f>
        <v>0</v>
      </c>
    </row>
    <row r="216" spans="1:10">
      <c r="A216" s="2">
        <f>VLOOKUP(B216,CHOOSE({1,2},'NOVACART DATA'!$B$2:$B$1001,'NOVACART DATA'!$A$2:$A$1001),2,FALSE)</f>
        <v>46039</v>
      </c>
      <c r="B216" s="1">
        <v>1408</v>
      </c>
      <c r="C216" s="1">
        <f>VLOOKUP(B216,'NOVACART DATA'!$B$2:$C$1000,2,FALSE)</f>
        <v>33</v>
      </c>
      <c r="D216" s="1">
        <v>39</v>
      </c>
      <c r="E216" s="1" t="str">
        <f>VLOOKUP(B216,'NOVACART DATA'!$B$2:$M$1001,5,FALSE)</f>
        <v>Email</v>
      </c>
      <c r="F216" s="1">
        <v>1</v>
      </c>
      <c r="G216" s="1">
        <v>39.979999999999997</v>
      </c>
      <c r="H216" s="1">
        <v>0</v>
      </c>
      <c r="I216" s="17">
        <f t="shared" si="3"/>
        <v>39.979999999999997</v>
      </c>
      <c r="J216" s="1">
        <f>VLOOKUP(B216,'NOVACART DATA'!$B$2:$N$1001,13,FALSE)</f>
        <v>0</v>
      </c>
    </row>
    <row r="217" spans="1:10">
      <c r="A217" s="2">
        <f>VLOOKUP(B217,CHOOSE({1,2},'NOVACART DATA'!$B$2:$B$1001,'NOVACART DATA'!$A$2:$A$1001),2,FALSE)</f>
        <v>46011</v>
      </c>
      <c r="B217" s="1">
        <v>1302</v>
      </c>
      <c r="C217" s="1">
        <f>VLOOKUP(B217,'NOVACART DATA'!$B$2:$C$1000,2,FALSE)</f>
        <v>34</v>
      </c>
      <c r="D217" s="1">
        <v>7</v>
      </c>
      <c r="E217" s="1" t="str">
        <f>VLOOKUP(B217,'NOVACART DATA'!$B$2:$M$1001,5,FALSE)</f>
        <v>Organic</v>
      </c>
      <c r="F217" s="1">
        <v>1</v>
      </c>
      <c r="G217" s="1">
        <v>79.39</v>
      </c>
      <c r="H217" s="1">
        <v>0</v>
      </c>
      <c r="I217" s="17">
        <f t="shared" si="3"/>
        <v>79.39</v>
      </c>
      <c r="J217" s="1">
        <f>VLOOKUP(B217,'NOVACART DATA'!$B$2:$N$1001,13,FALSE)</f>
        <v>0</v>
      </c>
    </row>
    <row r="218" spans="1:10">
      <c r="A218" s="2">
        <f>VLOOKUP(B218,CHOOSE({1,2},'NOVACART DATA'!$B$2:$B$1001,'NOVACART DATA'!$A$2:$A$1001),2,FALSE)</f>
        <v>46079</v>
      </c>
      <c r="B218" s="1">
        <v>1531</v>
      </c>
      <c r="C218" s="1">
        <f>VLOOKUP(B218,'NOVACART DATA'!$B$2:$C$1000,2,FALSE)</f>
        <v>34</v>
      </c>
      <c r="D218" s="1">
        <v>36</v>
      </c>
      <c r="E218" s="1" t="str">
        <f>VLOOKUP(B218,'NOVACART DATA'!$B$2:$M$1001,5,FALSE)</f>
        <v>Organic</v>
      </c>
      <c r="F218" s="1">
        <v>2</v>
      </c>
      <c r="G218" s="1">
        <v>23.23</v>
      </c>
      <c r="H218" s="1">
        <v>20</v>
      </c>
      <c r="I218" s="17">
        <f t="shared" si="3"/>
        <v>37.167999999999999</v>
      </c>
      <c r="J218" s="1">
        <f>VLOOKUP(B218,'NOVACART DATA'!$B$2:$N$1001,13,FALSE)</f>
        <v>0</v>
      </c>
    </row>
    <row r="219" spans="1:10">
      <c r="A219" s="2">
        <f>VLOOKUP(B219,CHOOSE({1,2},'NOVACART DATA'!$B$2:$B$1001,'NOVACART DATA'!$A$2:$A$1001),2,FALSE)</f>
        <v>46079</v>
      </c>
      <c r="B219" s="1">
        <v>1531</v>
      </c>
      <c r="C219" s="1">
        <f>VLOOKUP(B219,'NOVACART DATA'!$B$2:$C$1000,2,FALSE)</f>
        <v>34</v>
      </c>
      <c r="D219" s="1">
        <v>9</v>
      </c>
      <c r="E219" s="1" t="str">
        <f>VLOOKUP(B219,'NOVACART DATA'!$B$2:$M$1001,5,FALSE)</f>
        <v>Organic</v>
      </c>
      <c r="F219" s="1">
        <v>1</v>
      </c>
      <c r="G219" s="1">
        <v>20.69</v>
      </c>
      <c r="H219" s="1">
        <v>5.5</v>
      </c>
      <c r="I219" s="17">
        <f t="shared" si="3"/>
        <v>19.552050000000001</v>
      </c>
      <c r="J219" s="1">
        <f>VLOOKUP(B219,'NOVACART DATA'!$B$2:$N$1001,13,FALSE)</f>
        <v>0</v>
      </c>
    </row>
    <row r="220" spans="1:10">
      <c r="A220" s="2">
        <f>VLOOKUP(B220,CHOOSE({1,2},'NOVACART DATA'!$B$2:$B$1001,'NOVACART DATA'!$A$2:$A$1001),2,FALSE)</f>
        <v>46079</v>
      </c>
      <c r="B220" s="1">
        <v>1531</v>
      </c>
      <c r="C220" s="1">
        <f>VLOOKUP(B220,'NOVACART DATA'!$B$2:$C$1000,2,FALSE)</f>
        <v>34</v>
      </c>
      <c r="D220" s="1">
        <v>31</v>
      </c>
      <c r="E220" s="1" t="str">
        <f>VLOOKUP(B220,'NOVACART DATA'!$B$2:$M$1001,5,FALSE)</f>
        <v>Organic</v>
      </c>
      <c r="F220" s="1">
        <v>1</v>
      </c>
      <c r="G220" s="1">
        <v>57.51</v>
      </c>
      <c r="H220" s="1">
        <v>15</v>
      </c>
      <c r="I220" s="17">
        <f t="shared" si="3"/>
        <v>48.883499999999998</v>
      </c>
      <c r="J220" s="1">
        <f>VLOOKUP(B220,'NOVACART DATA'!$B$2:$N$1001,13,FALSE)</f>
        <v>0</v>
      </c>
    </row>
    <row r="221" spans="1:10">
      <c r="A221" s="2">
        <f>VLOOKUP(B221,CHOOSE({1,2},'NOVACART DATA'!$B$2:$B$1001,'NOVACART DATA'!$A$2:$A$1001),2,FALSE)</f>
        <v>46079</v>
      </c>
      <c r="B221" s="1">
        <v>1531</v>
      </c>
      <c r="C221" s="1">
        <f>VLOOKUP(B221,'NOVACART DATA'!$B$2:$C$1000,2,FALSE)</f>
        <v>34</v>
      </c>
      <c r="D221" s="1">
        <v>2</v>
      </c>
      <c r="E221" s="1" t="str">
        <f>VLOOKUP(B221,'NOVACART DATA'!$B$2:$M$1001,5,FALSE)</f>
        <v>Organic</v>
      </c>
      <c r="F221" s="1">
        <v>3</v>
      </c>
      <c r="G221" s="1">
        <v>38.869999999999997</v>
      </c>
      <c r="H221" s="1">
        <v>15</v>
      </c>
      <c r="I221" s="17">
        <f t="shared" si="3"/>
        <v>99.118499999999983</v>
      </c>
      <c r="J221" s="1">
        <f>VLOOKUP(B221,'NOVACART DATA'!$B$2:$N$1001,13,FALSE)</f>
        <v>0</v>
      </c>
    </row>
    <row r="222" spans="1:10">
      <c r="A222" s="2">
        <f>VLOOKUP(B222,CHOOSE({1,2},'NOVACART DATA'!$B$2:$B$1001,'NOVACART DATA'!$A$2:$A$1001),2,FALSE)</f>
        <v>45980</v>
      </c>
      <c r="B222" s="1">
        <v>1150</v>
      </c>
      <c r="C222" s="1">
        <f>VLOOKUP(B222,'NOVACART DATA'!$B$2:$C$1000,2,FALSE)</f>
        <v>35</v>
      </c>
      <c r="D222" s="1">
        <v>25</v>
      </c>
      <c r="E222" s="1" t="str">
        <f>VLOOKUP(B222,'NOVACART DATA'!$B$2:$M$1001,5,FALSE)</f>
        <v>Email</v>
      </c>
      <c r="F222" s="1">
        <v>1</v>
      </c>
      <c r="G222" s="1">
        <v>17.78</v>
      </c>
      <c r="H222" s="1">
        <v>5.5</v>
      </c>
      <c r="I222" s="17">
        <f t="shared" si="3"/>
        <v>16.802099999999999</v>
      </c>
      <c r="J222" s="1">
        <f>VLOOKUP(B222,'NOVACART DATA'!$B$2:$N$1001,13,FALSE)</f>
        <v>0</v>
      </c>
    </row>
    <row r="223" spans="1:10">
      <c r="A223" s="2">
        <f>VLOOKUP(B223,CHOOSE({1,2},'NOVACART DATA'!$B$2:$B$1001,'NOVACART DATA'!$A$2:$A$1001),2,FALSE)</f>
        <v>45980</v>
      </c>
      <c r="B223" s="1">
        <v>1150</v>
      </c>
      <c r="C223" s="1">
        <f>VLOOKUP(B223,'NOVACART DATA'!$B$2:$C$1000,2,FALSE)</f>
        <v>35</v>
      </c>
      <c r="D223" s="1">
        <v>2</v>
      </c>
      <c r="E223" s="1" t="str">
        <f>VLOOKUP(B223,'NOVACART DATA'!$B$2:$M$1001,5,FALSE)</f>
        <v>Email</v>
      </c>
      <c r="F223" s="1">
        <v>1</v>
      </c>
      <c r="G223" s="1">
        <v>64.02</v>
      </c>
      <c r="H223" s="1">
        <v>10</v>
      </c>
      <c r="I223" s="17">
        <f t="shared" si="3"/>
        <v>57.617999999999995</v>
      </c>
      <c r="J223" s="1">
        <f>VLOOKUP(B223,'NOVACART DATA'!$B$2:$N$1001,13,FALSE)</f>
        <v>0</v>
      </c>
    </row>
    <row r="224" spans="1:10">
      <c r="A224" s="2">
        <f>VLOOKUP(B224,CHOOSE({1,2},'NOVACART DATA'!$B$2:$B$1001,'NOVACART DATA'!$A$2:$A$1001),2,FALSE)</f>
        <v>46024</v>
      </c>
      <c r="B224" s="1">
        <v>1444</v>
      </c>
      <c r="C224" s="1">
        <f>VLOOKUP(B224,'NOVACART DATA'!$B$2:$C$1000,2,FALSE)</f>
        <v>35</v>
      </c>
      <c r="D224" s="1">
        <v>24</v>
      </c>
      <c r="E224" s="1" t="str">
        <f>VLOOKUP(B224,'NOVACART DATA'!$B$2:$M$1001,5,FALSE)</f>
        <v>Email</v>
      </c>
      <c r="F224" s="1">
        <v>1</v>
      </c>
      <c r="G224" s="1">
        <v>43.42</v>
      </c>
      <c r="H224" s="1">
        <v>0</v>
      </c>
      <c r="I224" s="17">
        <f t="shared" si="3"/>
        <v>43.42</v>
      </c>
      <c r="J224" s="1">
        <f>VLOOKUP(B224,'NOVACART DATA'!$B$2:$N$1001,13,FALSE)</f>
        <v>0</v>
      </c>
    </row>
    <row r="225" spans="1:10">
      <c r="A225" s="2">
        <f>VLOOKUP(B225,CHOOSE({1,2},'NOVACART DATA'!$B$2:$B$1001,'NOVACART DATA'!$A$2:$A$1001),2,FALSE)</f>
        <v>46024</v>
      </c>
      <c r="B225" s="1">
        <v>1444</v>
      </c>
      <c r="C225" s="1">
        <f>VLOOKUP(B225,'NOVACART DATA'!$B$2:$C$1000,2,FALSE)</f>
        <v>35</v>
      </c>
      <c r="D225" s="1">
        <v>31</v>
      </c>
      <c r="E225" s="1" t="str">
        <f>VLOOKUP(B225,'NOVACART DATA'!$B$2:$M$1001,5,FALSE)</f>
        <v>Email</v>
      </c>
      <c r="F225" s="1">
        <v>1</v>
      </c>
      <c r="G225" s="1">
        <v>57.51</v>
      </c>
      <c r="H225" s="1">
        <v>0</v>
      </c>
      <c r="I225" s="17">
        <f t="shared" si="3"/>
        <v>57.51</v>
      </c>
      <c r="J225" s="1">
        <f>VLOOKUP(B225,'NOVACART DATA'!$B$2:$N$1001,13,FALSE)</f>
        <v>0</v>
      </c>
    </row>
    <row r="226" spans="1:10">
      <c r="A226" s="2">
        <f>VLOOKUP(B226,CHOOSE({1,2},'NOVACART DATA'!$B$2:$B$1001,'NOVACART DATA'!$A$2:$A$1001),2,FALSE)</f>
        <v>45985</v>
      </c>
      <c r="B226" s="1">
        <v>1044</v>
      </c>
      <c r="C226" s="1">
        <f>VLOOKUP(B226,'NOVACART DATA'!$B$2:$C$1000,2,FALSE)</f>
        <v>5</v>
      </c>
      <c r="D226" s="1">
        <v>31</v>
      </c>
      <c r="E226" s="1" t="str">
        <f>VLOOKUP(B226,'NOVACART DATA'!$B$2:$M$1001,5,FALSE)</f>
        <v>Email</v>
      </c>
      <c r="F226" s="1">
        <v>2</v>
      </c>
      <c r="G226" s="1">
        <v>57.51</v>
      </c>
      <c r="H226" s="1">
        <v>20</v>
      </c>
      <c r="I226" s="17">
        <f t="shared" si="3"/>
        <v>92.016000000000005</v>
      </c>
      <c r="J226" s="1">
        <f>VLOOKUP(B226,'NOVACART DATA'!$B$2:$N$1001,13,FALSE)</f>
        <v>0</v>
      </c>
    </row>
    <row r="227" spans="1:10">
      <c r="A227" s="2">
        <f>VLOOKUP(B227,CHOOSE({1,2},'NOVACART DATA'!$B$2:$B$1001,'NOVACART DATA'!$A$2:$A$1001),2,FALSE)</f>
        <v>45912</v>
      </c>
      <c r="B227" s="1">
        <v>1243</v>
      </c>
      <c r="C227" s="1">
        <f>VLOOKUP(B227,'NOVACART DATA'!$B$2:$C$1000,2,FALSE)</f>
        <v>37</v>
      </c>
      <c r="D227" s="1">
        <v>9</v>
      </c>
      <c r="E227" s="1" t="str">
        <f>VLOOKUP(B227,'NOVACART DATA'!$B$2:$M$1001,5,FALSE)</f>
        <v>Referral</v>
      </c>
      <c r="F227" s="1">
        <v>1</v>
      </c>
      <c r="G227" s="1">
        <v>38.869999999999997</v>
      </c>
      <c r="H227" s="1">
        <v>0</v>
      </c>
      <c r="I227" s="17">
        <f t="shared" si="3"/>
        <v>38.869999999999997</v>
      </c>
      <c r="J227" s="1">
        <f>VLOOKUP(B227,'NOVACART DATA'!$B$2:$N$1001,13,FALSE)</f>
        <v>1</v>
      </c>
    </row>
    <row r="228" spans="1:10">
      <c r="A228" s="2">
        <f>VLOOKUP(B228,CHOOSE({1,2},'NOVACART DATA'!$B$2:$B$1001,'NOVACART DATA'!$A$2:$A$1001),2,FALSE)</f>
        <v>45912</v>
      </c>
      <c r="B228" s="1">
        <v>1243</v>
      </c>
      <c r="C228" s="1">
        <f>VLOOKUP(B228,'NOVACART DATA'!$B$2:$C$1000,2,FALSE)</f>
        <v>37</v>
      </c>
      <c r="D228" s="1">
        <v>12</v>
      </c>
      <c r="E228" s="1" t="str">
        <f>VLOOKUP(B228,'NOVACART DATA'!$B$2:$M$1001,5,FALSE)</f>
        <v>Referral</v>
      </c>
      <c r="F228" s="1">
        <v>1</v>
      </c>
      <c r="G228" s="1">
        <v>8.4499999999999993</v>
      </c>
      <c r="H228" s="1">
        <v>0</v>
      </c>
      <c r="I228" s="17">
        <f t="shared" si="3"/>
        <v>8.4499999999999993</v>
      </c>
      <c r="J228" s="1">
        <f>VLOOKUP(B228,'NOVACART DATA'!$B$2:$N$1001,13,FALSE)</f>
        <v>1</v>
      </c>
    </row>
    <row r="229" spans="1:10">
      <c r="A229" s="2">
        <f>VLOOKUP(B229,CHOOSE({1,2},'NOVACART DATA'!$B$2:$B$1001,'NOVACART DATA'!$A$2:$A$1001),2,FALSE)</f>
        <v>45912</v>
      </c>
      <c r="B229" s="1">
        <v>1243</v>
      </c>
      <c r="C229" s="1">
        <f>VLOOKUP(B229,'NOVACART DATA'!$B$2:$C$1000,2,FALSE)</f>
        <v>37</v>
      </c>
      <c r="D229" s="1">
        <v>20</v>
      </c>
      <c r="E229" s="1" t="str">
        <f>VLOOKUP(B229,'NOVACART DATA'!$B$2:$M$1001,5,FALSE)</f>
        <v>Referral</v>
      </c>
      <c r="F229" s="1">
        <v>2</v>
      </c>
      <c r="G229" s="1">
        <v>32.76</v>
      </c>
      <c r="H229" s="1">
        <v>0</v>
      </c>
      <c r="I229" s="17">
        <f t="shared" si="3"/>
        <v>65.52</v>
      </c>
      <c r="J229" s="1">
        <f>VLOOKUP(B229,'NOVACART DATA'!$B$2:$N$1001,13,FALSE)</f>
        <v>1</v>
      </c>
    </row>
    <row r="230" spans="1:10">
      <c r="A230" s="2">
        <f>VLOOKUP(B230,CHOOSE({1,2},'NOVACART DATA'!$B$2:$B$1001,'NOVACART DATA'!$A$2:$A$1001),2,FALSE)</f>
        <v>46020</v>
      </c>
      <c r="B230" s="1">
        <v>1349</v>
      </c>
      <c r="C230" s="1">
        <f>VLOOKUP(B230,'NOVACART DATA'!$B$2:$C$1000,2,FALSE)</f>
        <v>37</v>
      </c>
      <c r="D230" s="1">
        <v>39</v>
      </c>
      <c r="E230" s="1" t="str">
        <f>VLOOKUP(B230,'NOVACART DATA'!$B$2:$M$1001,5,FALSE)</f>
        <v>Referral</v>
      </c>
      <c r="F230" s="1">
        <v>3</v>
      </c>
      <c r="G230" s="1">
        <v>39.979999999999997</v>
      </c>
      <c r="H230" s="1">
        <v>0</v>
      </c>
      <c r="I230" s="17">
        <f t="shared" si="3"/>
        <v>119.94</v>
      </c>
      <c r="J230" s="1">
        <f>VLOOKUP(B230,'NOVACART DATA'!$B$2:$N$1001,13,FALSE)</f>
        <v>0</v>
      </c>
    </row>
    <row r="231" spans="1:10">
      <c r="A231" s="2">
        <f>VLOOKUP(B231,CHOOSE({1,2},'NOVACART DATA'!$B$2:$B$1001,'NOVACART DATA'!$A$2:$A$1001),2,FALSE)</f>
        <v>46073</v>
      </c>
      <c r="B231" s="1">
        <v>1506</v>
      </c>
      <c r="C231" s="1">
        <f>VLOOKUP(B231,'NOVACART DATA'!$B$2:$C$1000,2,FALSE)</f>
        <v>37</v>
      </c>
      <c r="D231" s="1">
        <v>31</v>
      </c>
      <c r="E231" s="1" t="str">
        <f>VLOOKUP(B231,'NOVACART DATA'!$B$2:$M$1001,5,FALSE)</f>
        <v>Referral</v>
      </c>
      <c r="F231" s="1">
        <v>1</v>
      </c>
      <c r="G231" s="1">
        <v>57.51</v>
      </c>
      <c r="H231" s="1">
        <v>20</v>
      </c>
      <c r="I231" s="17">
        <f t="shared" si="3"/>
        <v>46.008000000000003</v>
      </c>
      <c r="J231" s="1">
        <f>VLOOKUP(B231,'NOVACART DATA'!$B$2:$N$1001,13,FALSE)</f>
        <v>0</v>
      </c>
    </row>
    <row r="232" spans="1:10">
      <c r="A232" s="2">
        <f>VLOOKUP(B232,CHOOSE({1,2},'NOVACART DATA'!$B$2:$B$1001,'NOVACART DATA'!$A$2:$A$1001),2,FALSE)</f>
        <v>46073</v>
      </c>
      <c r="B232" s="1">
        <v>1506</v>
      </c>
      <c r="C232" s="1">
        <f>VLOOKUP(B232,'NOVACART DATA'!$B$2:$C$1000,2,FALSE)</f>
        <v>37</v>
      </c>
      <c r="D232" s="1">
        <v>26</v>
      </c>
      <c r="E232" s="1" t="str">
        <f>VLOOKUP(B232,'NOVACART DATA'!$B$2:$M$1001,5,FALSE)</f>
        <v>Referral</v>
      </c>
      <c r="F232" s="1">
        <v>1</v>
      </c>
      <c r="G232" s="1">
        <v>31.76</v>
      </c>
      <c r="H232" s="1">
        <v>10</v>
      </c>
      <c r="I232" s="17">
        <f t="shared" si="3"/>
        <v>28.584000000000003</v>
      </c>
      <c r="J232" s="1">
        <f>VLOOKUP(B232,'NOVACART DATA'!$B$2:$N$1001,13,FALSE)</f>
        <v>0</v>
      </c>
    </row>
    <row r="233" spans="1:10">
      <c r="A233" s="2">
        <f>VLOOKUP(B233,CHOOSE({1,2},'NOVACART DATA'!$B$2:$B$1001,'NOVACART DATA'!$A$2:$A$1001),2,FALSE)</f>
        <v>46073</v>
      </c>
      <c r="B233" s="1">
        <v>1506</v>
      </c>
      <c r="C233" s="1">
        <f>VLOOKUP(B233,'NOVACART DATA'!$B$2:$C$1000,2,FALSE)</f>
        <v>37</v>
      </c>
      <c r="D233" s="1">
        <v>9</v>
      </c>
      <c r="E233" s="1" t="str">
        <f>VLOOKUP(B233,'NOVACART DATA'!$B$2:$M$1001,5,FALSE)</f>
        <v>Referral</v>
      </c>
      <c r="F233" s="1">
        <v>1</v>
      </c>
      <c r="G233" s="1">
        <v>20.69</v>
      </c>
      <c r="H233" s="1">
        <v>15</v>
      </c>
      <c r="I233" s="17">
        <f t="shared" si="3"/>
        <v>17.586500000000001</v>
      </c>
      <c r="J233" s="1">
        <f>VLOOKUP(B233,'NOVACART DATA'!$B$2:$N$1001,13,FALSE)</f>
        <v>0</v>
      </c>
    </row>
    <row r="234" spans="1:10">
      <c r="A234" s="2">
        <f>VLOOKUP(B234,CHOOSE({1,2},'NOVACART DATA'!$B$2:$B$1001,'NOVACART DATA'!$A$2:$A$1001),2,FALSE)</f>
        <v>45949</v>
      </c>
      <c r="B234" s="1">
        <v>1029</v>
      </c>
      <c r="C234" s="1">
        <f>VLOOKUP(B234,'NOVACART DATA'!$B$2:$C$1000,2,FALSE)</f>
        <v>38</v>
      </c>
      <c r="D234" s="1">
        <v>40</v>
      </c>
      <c r="E234" s="1" t="str">
        <f>VLOOKUP(B234,'NOVACART DATA'!$B$2:$M$1001,5,FALSE)</f>
        <v>Email</v>
      </c>
      <c r="F234" s="1">
        <v>1</v>
      </c>
      <c r="G234" s="1">
        <v>47.25</v>
      </c>
      <c r="H234" s="1">
        <v>0</v>
      </c>
      <c r="I234" s="17">
        <f t="shared" si="3"/>
        <v>47.25</v>
      </c>
      <c r="J234" s="1">
        <f>VLOOKUP(B234,'NOVACART DATA'!$B$2:$N$1001,13,FALSE)</f>
        <v>0</v>
      </c>
    </row>
    <row r="235" spans="1:10">
      <c r="A235" s="2">
        <f>VLOOKUP(B235,CHOOSE({1,2},'NOVACART DATA'!$B$2:$B$1001,'NOVACART DATA'!$A$2:$A$1001),2,FALSE)</f>
        <v>45949</v>
      </c>
      <c r="B235" s="1">
        <v>1029</v>
      </c>
      <c r="C235" s="1">
        <f>VLOOKUP(B235,'NOVACART DATA'!$B$2:$C$1000,2,FALSE)</f>
        <v>38</v>
      </c>
      <c r="D235" s="1">
        <v>38</v>
      </c>
      <c r="E235" s="1" t="str">
        <f>VLOOKUP(B235,'NOVACART DATA'!$B$2:$M$1001,5,FALSE)</f>
        <v>Email</v>
      </c>
      <c r="F235" s="1">
        <v>1</v>
      </c>
      <c r="G235" s="1">
        <v>25.14</v>
      </c>
      <c r="H235" s="1">
        <v>0</v>
      </c>
      <c r="I235" s="17">
        <f t="shared" si="3"/>
        <v>25.14</v>
      </c>
      <c r="J235" s="1">
        <f>VLOOKUP(B235,'NOVACART DATA'!$B$2:$N$1001,13,FALSE)</f>
        <v>0</v>
      </c>
    </row>
    <row r="236" spans="1:10">
      <c r="A236" s="2">
        <f>VLOOKUP(B236,CHOOSE({1,2},'NOVACART DATA'!$B$2:$B$1001,'NOVACART DATA'!$A$2:$A$1001),2,FALSE)</f>
        <v>45961</v>
      </c>
      <c r="B236" s="1">
        <v>1059</v>
      </c>
      <c r="C236" s="1">
        <f>VLOOKUP(B236,'NOVACART DATA'!$B$2:$C$1000,2,FALSE)</f>
        <v>38</v>
      </c>
      <c r="D236" s="1">
        <v>24</v>
      </c>
      <c r="E236" s="1" t="str">
        <f>VLOOKUP(B236,'NOVACART DATA'!$B$2:$M$1001,5,FALSE)</f>
        <v>Email</v>
      </c>
      <c r="F236" s="1">
        <v>1</v>
      </c>
      <c r="G236" s="1">
        <v>43.42</v>
      </c>
      <c r="H236" s="1">
        <v>0</v>
      </c>
      <c r="I236" s="17">
        <f t="shared" si="3"/>
        <v>43.42</v>
      </c>
      <c r="J236" s="1">
        <f>VLOOKUP(B236,'NOVACART DATA'!$B$2:$N$1001,13,FALSE)</f>
        <v>0</v>
      </c>
    </row>
    <row r="237" spans="1:10">
      <c r="A237" s="2">
        <f>VLOOKUP(B237,CHOOSE({1,2},'NOVACART DATA'!$B$2:$B$1001,'NOVACART DATA'!$A$2:$A$1001),2,FALSE)</f>
        <v>45961</v>
      </c>
      <c r="B237" s="1">
        <v>1059</v>
      </c>
      <c r="C237" s="1">
        <f>VLOOKUP(B237,'NOVACART DATA'!$B$2:$C$1000,2,FALSE)</f>
        <v>38</v>
      </c>
      <c r="D237" s="1">
        <v>25</v>
      </c>
      <c r="E237" s="1" t="str">
        <f>VLOOKUP(B237,'NOVACART DATA'!$B$2:$M$1001,5,FALSE)</f>
        <v>Email</v>
      </c>
      <c r="F237" s="1">
        <v>1</v>
      </c>
      <c r="G237" s="1">
        <v>38.869999999999997</v>
      </c>
      <c r="H237" s="1">
        <v>0</v>
      </c>
      <c r="I237" s="17">
        <f t="shared" si="3"/>
        <v>38.869999999999997</v>
      </c>
      <c r="J237" s="1">
        <f>VLOOKUP(B237,'NOVACART DATA'!$B$2:$N$1001,13,FALSE)</f>
        <v>0</v>
      </c>
    </row>
    <row r="238" spans="1:10">
      <c r="A238" s="2">
        <f>VLOOKUP(B238,CHOOSE({1,2},'NOVACART DATA'!$B$2:$B$1001,'NOVACART DATA'!$A$2:$A$1001),2,FALSE)</f>
        <v>45985</v>
      </c>
      <c r="B238" s="1">
        <v>1044</v>
      </c>
      <c r="C238" s="1">
        <f>VLOOKUP(B238,'NOVACART DATA'!$B$2:$C$1000,2,FALSE)</f>
        <v>5</v>
      </c>
      <c r="D238" s="1">
        <v>6</v>
      </c>
      <c r="E238" s="1" t="str">
        <f>VLOOKUP(B238,'NOVACART DATA'!$B$2:$M$1001,5,FALSE)</f>
        <v>Email</v>
      </c>
      <c r="F238" s="1">
        <v>1</v>
      </c>
      <c r="G238" s="1">
        <v>70.47</v>
      </c>
      <c r="H238" s="1">
        <v>0</v>
      </c>
      <c r="I238" s="17">
        <f t="shared" si="3"/>
        <v>70.47</v>
      </c>
      <c r="J238" s="1">
        <f>VLOOKUP(B238,'NOVACART DATA'!$B$2:$N$1001,13,FALSE)</f>
        <v>0</v>
      </c>
    </row>
    <row r="239" spans="1:10">
      <c r="A239" s="2">
        <f>VLOOKUP(B239,CHOOSE({1,2},'NOVACART DATA'!$B$2:$B$1001,'NOVACART DATA'!$A$2:$A$1001),2,FALSE)</f>
        <v>46038</v>
      </c>
      <c r="B239" s="1">
        <v>1407</v>
      </c>
      <c r="C239" s="1">
        <f>VLOOKUP(B239,'NOVACART DATA'!$B$2:$C$1000,2,FALSE)</f>
        <v>38</v>
      </c>
      <c r="D239" s="1">
        <v>16</v>
      </c>
      <c r="E239" s="1" t="str">
        <f>VLOOKUP(B239,'NOVACART DATA'!$B$2:$M$1001,5,FALSE)</f>
        <v>Email</v>
      </c>
      <c r="F239" s="1">
        <v>1</v>
      </c>
      <c r="G239" s="1">
        <v>11.81</v>
      </c>
      <c r="H239" s="1">
        <v>0</v>
      </c>
      <c r="I239" s="17">
        <f t="shared" si="3"/>
        <v>11.81</v>
      </c>
      <c r="J239" s="1">
        <f>VLOOKUP(B239,'NOVACART DATA'!$B$2:$N$1001,13,FALSE)</f>
        <v>0</v>
      </c>
    </row>
    <row r="240" spans="1:10">
      <c r="A240" s="2">
        <f>VLOOKUP(B240,CHOOSE({1,2},'NOVACART DATA'!$B$2:$B$1001,'NOVACART DATA'!$A$2:$A$1001),2,FALSE)</f>
        <v>46038</v>
      </c>
      <c r="B240" s="1">
        <v>1407</v>
      </c>
      <c r="C240" s="1">
        <f>VLOOKUP(B240,'NOVACART DATA'!$B$2:$C$1000,2,FALSE)</f>
        <v>38</v>
      </c>
      <c r="D240" s="1">
        <v>31</v>
      </c>
      <c r="E240" s="1" t="str">
        <f>VLOOKUP(B240,'NOVACART DATA'!$B$2:$M$1001,5,FALSE)</f>
        <v>Email</v>
      </c>
      <c r="F240" s="1">
        <v>1</v>
      </c>
      <c r="G240" s="1">
        <v>57.51</v>
      </c>
      <c r="H240" s="1">
        <v>5.5</v>
      </c>
      <c r="I240" s="17">
        <f t="shared" si="3"/>
        <v>54.346949999999993</v>
      </c>
      <c r="J240" s="1">
        <f>VLOOKUP(B240,'NOVACART DATA'!$B$2:$N$1001,13,FALSE)</f>
        <v>0</v>
      </c>
    </row>
    <row r="241" spans="1:10">
      <c r="A241" s="2">
        <f>VLOOKUP(B241,CHOOSE({1,2},'NOVACART DATA'!$B$2:$B$1001,'NOVACART DATA'!$A$2:$A$1001),2,FALSE)</f>
        <v>46046</v>
      </c>
      <c r="B241" s="1">
        <v>1426</v>
      </c>
      <c r="C241" s="1">
        <f>VLOOKUP(B241,'NOVACART DATA'!$B$2:$C$1000,2,FALSE)</f>
        <v>38</v>
      </c>
      <c r="D241" s="1">
        <v>31</v>
      </c>
      <c r="E241" s="1" t="str">
        <f>VLOOKUP(B241,'NOVACART DATA'!$B$2:$M$1001,5,FALSE)</f>
        <v>Email</v>
      </c>
      <c r="F241" s="1">
        <v>1</v>
      </c>
      <c r="G241" s="1">
        <v>57.51</v>
      </c>
      <c r="H241" s="1">
        <v>0</v>
      </c>
      <c r="I241" s="17">
        <f t="shared" si="3"/>
        <v>57.51</v>
      </c>
      <c r="J241" s="1">
        <f>VLOOKUP(B241,'NOVACART DATA'!$B$2:$N$1001,13,FALSE)</f>
        <v>0</v>
      </c>
    </row>
    <row r="242" spans="1:10">
      <c r="A242" s="2">
        <f>VLOOKUP(B242,CHOOSE({1,2},'NOVACART DATA'!$B$2:$B$1001,'NOVACART DATA'!$A$2:$A$1001),2,FALSE)</f>
        <v>46046</v>
      </c>
      <c r="B242" s="1">
        <v>1426</v>
      </c>
      <c r="C242" s="1">
        <f>VLOOKUP(B242,'NOVACART DATA'!$B$2:$C$1000,2,FALSE)</f>
        <v>38</v>
      </c>
      <c r="D242" s="1">
        <v>1</v>
      </c>
      <c r="E242" s="1" t="str">
        <f>VLOOKUP(B242,'NOVACART DATA'!$B$2:$M$1001,5,FALSE)</f>
        <v>Email</v>
      </c>
      <c r="F242" s="1">
        <v>2</v>
      </c>
      <c r="G242" s="1">
        <v>47.45</v>
      </c>
      <c r="H242" s="1">
        <v>0</v>
      </c>
      <c r="I242" s="17">
        <f t="shared" si="3"/>
        <v>94.9</v>
      </c>
      <c r="J242" s="1">
        <f>VLOOKUP(B242,'NOVACART DATA'!$B$2:$N$1001,13,FALSE)</f>
        <v>0</v>
      </c>
    </row>
    <row r="243" spans="1:10">
      <c r="A243" s="2">
        <f>VLOOKUP(B243,CHOOSE({1,2},'NOVACART DATA'!$B$2:$B$1001,'NOVACART DATA'!$A$2:$A$1001),2,FALSE)</f>
        <v>46069</v>
      </c>
      <c r="B243" s="1">
        <v>1491</v>
      </c>
      <c r="C243" s="1">
        <f>VLOOKUP(B243,'NOVACART DATA'!$B$2:$C$1000,2,FALSE)</f>
        <v>38</v>
      </c>
      <c r="D243" s="1">
        <v>22</v>
      </c>
      <c r="E243" s="1" t="str">
        <f>VLOOKUP(B243,'NOVACART DATA'!$B$2:$M$1001,5,FALSE)</f>
        <v>Email</v>
      </c>
      <c r="F243" s="1">
        <v>2</v>
      </c>
      <c r="G243" s="1">
        <v>29.98</v>
      </c>
      <c r="H243" s="1">
        <v>15</v>
      </c>
      <c r="I243" s="17">
        <f t="shared" si="3"/>
        <v>50.966000000000001</v>
      </c>
      <c r="J243" s="1">
        <f>VLOOKUP(B243,'NOVACART DATA'!$B$2:$N$1001,13,FALSE)</f>
        <v>0</v>
      </c>
    </row>
    <row r="244" spans="1:10">
      <c r="A244" s="2">
        <f>VLOOKUP(B244,CHOOSE({1,2},'NOVACART DATA'!$B$2:$B$1001,'NOVACART DATA'!$A$2:$A$1001),2,FALSE)</f>
        <v>45946</v>
      </c>
      <c r="B244" s="1">
        <v>1013</v>
      </c>
      <c r="C244" s="1">
        <f>VLOOKUP(B244,'NOVACART DATA'!$B$2:$C$1000,2,FALSE)</f>
        <v>39</v>
      </c>
      <c r="D244" s="1">
        <v>28</v>
      </c>
      <c r="E244" s="1" t="str">
        <f>VLOOKUP(B244,'NOVACART DATA'!$B$2:$M$1001,5,FALSE)</f>
        <v>Organic</v>
      </c>
      <c r="F244" s="1">
        <v>1</v>
      </c>
      <c r="G244" s="1">
        <v>21.24</v>
      </c>
      <c r="H244" s="1">
        <v>10</v>
      </c>
      <c r="I244" s="17">
        <f t="shared" si="3"/>
        <v>19.116</v>
      </c>
      <c r="J244" s="1">
        <f>VLOOKUP(B244,'NOVACART DATA'!$B$2:$N$1001,13,FALSE)</f>
        <v>0</v>
      </c>
    </row>
    <row r="245" spans="1:10">
      <c r="A245" s="2">
        <f>VLOOKUP(B245,CHOOSE({1,2},'NOVACART DATA'!$B$2:$B$1001,'NOVACART DATA'!$A$2:$A$1001),2,FALSE)</f>
        <v>45946</v>
      </c>
      <c r="B245" s="1">
        <v>1013</v>
      </c>
      <c r="C245" s="1">
        <f>VLOOKUP(B245,'NOVACART DATA'!$B$2:$C$1000,2,FALSE)</f>
        <v>39</v>
      </c>
      <c r="D245" s="1">
        <v>18</v>
      </c>
      <c r="E245" s="1" t="str">
        <f>VLOOKUP(B245,'NOVACART DATA'!$B$2:$M$1001,5,FALSE)</f>
        <v>Organic</v>
      </c>
      <c r="F245" s="1">
        <v>1</v>
      </c>
      <c r="G245" s="1">
        <v>38.869999999999997</v>
      </c>
      <c r="H245" s="1">
        <v>5</v>
      </c>
      <c r="I245" s="17">
        <f t="shared" si="3"/>
        <v>36.926499999999997</v>
      </c>
      <c r="J245" s="1">
        <f>VLOOKUP(B245,'NOVACART DATA'!$B$2:$N$1001,13,FALSE)</f>
        <v>0</v>
      </c>
    </row>
    <row r="246" spans="1:10">
      <c r="A246" s="2">
        <f>VLOOKUP(B246,CHOOSE({1,2},'NOVACART DATA'!$B$2:$B$1001,'NOVACART DATA'!$A$2:$A$1001),2,FALSE)</f>
        <v>45981</v>
      </c>
      <c r="B246" s="1">
        <v>1155</v>
      </c>
      <c r="C246" s="1">
        <f>VLOOKUP(B246,'NOVACART DATA'!$B$2:$C$1000,2,FALSE)</f>
        <v>39</v>
      </c>
      <c r="D246" s="1">
        <v>36</v>
      </c>
      <c r="E246" s="1" t="str">
        <f>VLOOKUP(B246,'NOVACART DATA'!$B$2:$M$1001,5,FALSE)</f>
        <v>Referral</v>
      </c>
      <c r="F246" s="1">
        <v>1</v>
      </c>
      <c r="G246" s="1">
        <v>23.23</v>
      </c>
      <c r="H246" s="1">
        <v>0</v>
      </c>
      <c r="I246" s="17">
        <f t="shared" si="3"/>
        <v>23.23</v>
      </c>
      <c r="J246" s="1">
        <f>VLOOKUP(B246,'NOVACART DATA'!$B$2:$N$1001,13,FALSE)</f>
        <v>1</v>
      </c>
    </row>
    <row r="247" spans="1:10">
      <c r="A247" s="2">
        <f>VLOOKUP(B247,CHOOSE({1,2},'NOVACART DATA'!$B$2:$B$1001,'NOVACART DATA'!$A$2:$A$1001),2,FALSE)</f>
        <v>45981</v>
      </c>
      <c r="B247" s="1">
        <v>1155</v>
      </c>
      <c r="C247" s="1">
        <f>VLOOKUP(B247,'NOVACART DATA'!$B$2:$C$1000,2,FALSE)</f>
        <v>39</v>
      </c>
      <c r="D247" s="1">
        <v>30</v>
      </c>
      <c r="E247" s="1" t="str">
        <f>VLOOKUP(B247,'NOVACART DATA'!$B$2:$M$1001,5,FALSE)</f>
        <v>Referral</v>
      </c>
      <c r="F247" s="1">
        <v>1</v>
      </c>
      <c r="G247" s="1">
        <v>41.49</v>
      </c>
      <c r="H247" s="1">
        <v>5</v>
      </c>
      <c r="I247" s="17">
        <f t="shared" si="3"/>
        <v>39.415500000000002</v>
      </c>
      <c r="J247" s="1">
        <f>VLOOKUP(B247,'NOVACART DATA'!$B$2:$N$1001,13,FALSE)</f>
        <v>1</v>
      </c>
    </row>
    <row r="248" spans="1:10">
      <c r="A248" s="2">
        <f>VLOOKUP(B248,CHOOSE({1,2},'NOVACART DATA'!$B$2:$B$1001,'NOVACART DATA'!$A$2:$A$1001),2,FALSE)</f>
        <v>45981</v>
      </c>
      <c r="B248" s="1">
        <v>1155</v>
      </c>
      <c r="C248" s="1">
        <f>VLOOKUP(B248,'NOVACART DATA'!$B$2:$C$1000,2,FALSE)</f>
        <v>39</v>
      </c>
      <c r="D248" s="1">
        <v>19</v>
      </c>
      <c r="E248" s="1" t="str">
        <f>VLOOKUP(B248,'NOVACART DATA'!$B$2:$M$1001,5,FALSE)</f>
        <v>Referral</v>
      </c>
      <c r="F248" s="1">
        <v>1</v>
      </c>
      <c r="G248" s="1">
        <v>50.14</v>
      </c>
      <c r="H248" s="1">
        <v>5</v>
      </c>
      <c r="I248" s="17">
        <f t="shared" si="3"/>
        <v>47.632999999999996</v>
      </c>
      <c r="J248" s="1">
        <f>VLOOKUP(B248,'NOVACART DATA'!$B$2:$N$1001,13,FALSE)</f>
        <v>1</v>
      </c>
    </row>
    <row r="249" spans="1:10">
      <c r="A249" s="2">
        <f>VLOOKUP(B249,CHOOSE({1,2},'NOVACART DATA'!$B$2:$B$1001,'NOVACART DATA'!$A$2:$A$1001),2,FALSE)</f>
        <v>45985</v>
      </c>
      <c r="B249" s="1">
        <v>1044</v>
      </c>
      <c r="C249" s="1">
        <f>VLOOKUP(B249,'NOVACART DATA'!$B$2:$C$1000,2,FALSE)</f>
        <v>5</v>
      </c>
      <c r="D249" s="1">
        <v>38</v>
      </c>
      <c r="E249" s="1" t="str">
        <f>VLOOKUP(B249,'NOVACART DATA'!$B$2:$M$1001,5,FALSE)</f>
        <v>Email</v>
      </c>
      <c r="F249" s="1">
        <v>1</v>
      </c>
      <c r="G249" s="1">
        <v>25.14</v>
      </c>
      <c r="H249" s="1">
        <v>5</v>
      </c>
      <c r="I249" s="17">
        <f t="shared" si="3"/>
        <v>23.882999999999999</v>
      </c>
      <c r="J249" s="1">
        <f>VLOOKUP(B249,'NOVACART DATA'!$B$2:$N$1001,13,FALSE)</f>
        <v>0</v>
      </c>
    </row>
    <row r="250" spans="1:10">
      <c r="A250" s="2">
        <f>VLOOKUP(B250,CHOOSE({1,2},'NOVACART DATA'!$B$2:$B$1001,'NOVACART DATA'!$A$2:$A$1001),2,FALSE)</f>
        <v>45984</v>
      </c>
      <c r="B250" s="1">
        <v>1167</v>
      </c>
      <c r="C250" s="1">
        <f>VLOOKUP(B250,'NOVACART DATA'!$B$2:$C$1000,2,FALSE)</f>
        <v>39</v>
      </c>
      <c r="D250" s="1">
        <v>1</v>
      </c>
      <c r="E250" s="1" t="str">
        <f>VLOOKUP(B250,'NOVACART DATA'!$B$2:$M$1001,5,FALSE)</f>
        <v>Referral</v>
      </c>
      <c r="F250" s="1">
        <v>3</v>
      </c>
      <c r="G250" s="1">
        <v>47.45</v>
      </c>
      <c r="H250" s="1">
        <v>10</v>
      </c>
      <c r="I250" s="17">
        <f t="shared" si="3"/>
        <v>128.11500000000004</v>
      </c>
      <c r="J250" s="1">
        <f>VLOOKUP(B250,'NOVACART DATA'!$B$2:$N$1001,13,FALSE)</f>
        <v>0</v>
      </c>
    </row>
    <row r="251" spans="1:10">
      <c r="A251" s="2">
        <f>VLOOKUP(B251,CHOOSE({1,2},'NOVACART DATA'!$B$2:$B$1001,'NOVACART DATA'!$A$2:$A$1001),2,FALSE)</f>
        <v>45984</v>
      </c>
      <c r="B251" s="1">
        <v>1167</v>
      </c>
      <c r="C251" s="1">
        <f>VLOOKUP(B251,'NOVACART DATA'!$B$2:$C$1000,2,FALSE)</f>
        <v>39</v>
      </c>
      <c r="D251" s="1">
        <v>8</v>
      </c>
      <c r="E251" s="1" t="str">
        <f>VLOOKUP(B251,'NOVACART DATA'!$B$2:$M$1001,5,FALSE)</f>
        <v>Referral</v>
      </c>
      <c r="F251" s="1">
        <v>1</v>
      </c>
      <c r="G251" s="1">
        <v>16.72</v>
      </c>
      <c r="H251" s="1">
        <v>5</v>
      </c>
      <c r="I251" s="17">
        <f t="shared" si="3"/>
        <v>15.883999999999999</v>
      </c>
      <c r="J251" s="1">
        <f>VLOOKUP(B251,'NOVACART DATA'!$B$2:$N$1001,13,FALSE)</f>
        <v>0</v>
      </c>
    </row>
    <row r="252" spans="1:10">
      <c r="A252" s="2">
        <f>VLOOKUP(B252,CHOOSE({1,2},'NOVACART DATA'!$B$2:$B$1001,'NOVACART DATA'!$A$2:$A$1001),2,FALSE)</f>
        <v>45984</v>
      </c>
      <c r="B252" s="1">
        <v>1167</v>
      </c>
      <c r="C252" s="1">
        <f>VLOOKUP(B252,'NOVACART DATA'!$B$2:$C$1000,2,FALSE)</f>
        <v>39</v>
      </c>
      <c r="D252" s="1">
        <v>34</v>
      </c>
      <c r="E252" s="1" t="str">
        <f>VLOOKUP(B252,'NOVACART DATA'!$B$2:$M$1001,5,FALSE)</f>
        <v>Referral</v>
      </c>
      <c r="F252" s="1">
        <v>1</v>
      </c>
      <c r="G252" s="1">
        <v>58.26</v>
      </c>
      <c r="H252" s="1">
        <v>10</v>
      </c>
      <c r="I252" s="17">
        <f t="shared" si="3"/>
        <v>52.433999999999997</v>
      </c>
      <c r="J252" s="1">
        <f>VLOOKUP(B252,'NOVACART DATA'!$B$2:$N$1001,13,FALSE)</f>
        <v>0</v>
      </c>
    </row>
    <row r="253" spans="1:10">
      <c r="A253" s="2">
        <f>VLOOKUP(B253,CHOOSE({1,2},'NOVACART DATA'!$B$2:$B$1001,'NOVACART DATA'!$A$2:$A$1001),2,FALSE)</f>
        <v>45728</v>
      </c>
      <c r="B253" s="1">
        <v>1217</v>
      </c>
      <c r="C253" s="1">
        <f>VLOOKUP(B253,'NOVACART DATA'!$B$2:$C$1000,2,FALSE)</f>
        <v>39</v>
      </c>
      <c r="D253" s="1">
        <v>26</v>
      </c>
      <c r="E253" s="1" t="str">
        <f>VLOOKUP(B253,'NOVACART DATA'!$B$2:$M$1001,5,FALSE)</f>
        <v>Referral</v>
      </c>
      <c r="F253" s="1">
        <v>1</v>
      </c>
      <c r="G253" s="1">
        <v>31.76</v>
      </c>
      <c r="H253" s="1">
        <v>0</v>
      </c>
      <c r="I253" s="17">
        <f t="shared" si="3"/>
        <v>31.76</v>
      </c>
      <c r="J253" s="1">
        <f>VLOOKUP(B253,'NOVACART DATA'!$B$2:$N$1001,13,FALSE)</f>
        <v>0</v>
      </c>
    </row>
    <row r="254" spans="1:10">
      <c r="A254" s="2">
        <f>VLOOKUP(B254,CHOOSE({1,2},'NOVACART DATA'!$B$2:$B$1001,'NOVACART DATA'!$A$2:$A$1001),2,FALSE)</f>
        <v>45985</v>
      </c>
      <c r="B254" s="1">
        <v>1044</v>
      </c>
      <c r="C254" s="1">
        <f>VLOOKUP(B254,'NOVACART DATA'!$B$2:$C$1000,2,FALSE)</f>
        <v>5</v>
      </c>
      <c r="D254" s="1">
        <v>9</v>
      </c>
      <c r="E254" s="1" t="str">
        <f>VLOOKUP(B254,'NOVACART DATA'!$B$2:$M$1001,5,FALSE)</f>
        <v>Email</v>
      </c>
      <c r="F254" s="1">
        <v>3</v>
      </c>
      <c r="G254" s="1">
        <v>20.69</v>
      </c>
      <c r="H254" s="1">
        <v>10</v>
      </c>
      <c r="I254" s="17">
        <f t="shared" si="3"/>
        <v>55.863000000000007</v>
      </c>
      <c r="J254" s="1">
        <f>VLOOKUP(B254,'NOVACART DATA'!$B$2:$N$1001,13,FALSE)</f>
        <v>0</v>
      </c>
    </row>
    <row r="255" spans="1:10">
      <c r="A255" s="2">
        <f>VLOOKUP(B255,CHOOSE({1,2},'NOVACART DATA'!$B$2:$B$1001,'NOVACART DATA'!$A$2:$A$1001),2,FALSE)</f>
        <v>46074</v>
      </c>
      <c r="B255" s="1">
        <v>1512</v>
      </c>
      <c r="C255" s="1">
        <f>VLOOKUP(B255,'NOVACART DATA'!$B$2:$C$1000,2,FALSE)</f>
        <v>39</v>
      </c>
      <c r="D255" s="1">
        <v>40</v>
      </c>
      <c r="E255" s="1" t="str">
        <f>VLOOKUP(B255,'NOVACART DATA'!$B$2:$M$1001,5,FALSE)</f>
        <v>Referral</v>
      </c>
      <c r="F255" s="1">
        <v>1</v>
      </c>
      <c r="G255" s="1">
        <v>47.25</v>
      </c>
      <c r="H255" s="1">
        <v>5</v>
      </c>
      <c r="I255" s="17">
        <f t="shared" si="3"/>
        <v>44.887499999999996</v>
      </c>
      <c r="J255" s="1">
        <f>VLOOKUP(B255,'NOVACART DATA'!$B$2:$N$1001,13,FALSE)</f>
        <v>0</v>
      </c>
    </row>
    <row r="256" spans="1:10">
      <c r="A256" s="2">
        <f>VLOOKUP(B256,CHOOSE({1,2},'NOVACART DATA'!$B$2:$B$1001,'NOVACART DATA'!$A$2:$A$1001),2,FALSE)</f>
        <v>46025</v>
      </c>
      <c r="B256" s="1">
        <v>1548</v>
      </c>
      <c r="C256" s="1">
        <f>VLOOKUP(B256,'NOVACART DATA'!$B$2:$C$1000,2,FALSE)</f>
        <v>39</v>
      </c>
      <c r="D256" s="1">
        <v>3</v>
      </c>
      <c r="E256" s="1" t="str">
        <f>VLOOKUP(B256,'NOVACART DATA'!$B$2:$M$1001,5,FALSE)</f>
        <v>Referral</v>
      </c>
      <c r="F256" s="1">
        <v>2</v>
      </c>
      <c r="G256" s="1">
        <v>25.47</v>
      </c>
      <c r="H256" s="1">
        <v>0</v>
      </c>
      <c r="I256" s="17">
        <f t="shared" si="3"/>
        <v>50.94</v>
      </c>
      <c r="J256" s="1">
        <f>VLOOKUP(B256,'NOVACART DATA'!$B$2:$N$1001,13,FALSE)</f>
        <v>0</v>
      </c>
    </row>
    <row r="257" spans="1:10">
      <c r="A257" s="2">
        <f>VLOOKUP(B257,CHOOSE({1,2},'NOVACART DATA'!$B$2:$B$1001,'NOVACART DATA'!$A$2:$A$1001),2,FALSE)</f>
        <v>46025</v>
      </c>
      <c r="B257" s="1">
        <v>1548</v>
      </c>
      <c r="C257" s="1">
        <f>VLOOKUP(B257,'NOVACART DATA'!$B$2:$C$1000,2,FALSE)</f>
        <v>39</v>
      </c>
      <c r="D257" s="1">
        <v>9</v>
      </c>
      <c r="E257" s="1" t="str">
        <f>VLOOKUP(B257,'NOVACART DATA'!$B$2:$M$1001,5,FALSE)</f>
        <v>Referral</v>
      </c>
      <c r="F257" s="1">
        <v>2</v>
      </c>
      <c r="G257" s="1">
        <v>20.69</v>
      </c>
      <c r="H257" s="1">
        <v>0</v>
      </c>
      <c r="I257" s="17">
        <f t="shared" si="3"/>
        <v>41.38</v>
      </c>
      <c r="J257" s="1">
        <f>VLOOKUP(B257,'NOVACART DATA'!$B$2:$N$1001,13,FALSE)</f>
        <v>0</v>
      </c>
    </row>
    <row r="258" spans="1:10">
      <c r="A258" s="2">
        <f>VLOOKUP(B258,CHOOSE({1,2},'NOVACART DATA'!$B$2:$B$1001,'NOVACART DATA'!$A$2:$A$1001),2,FALSE)</f>
        <v>46025</v>
      </c>
      <c r="B258" s="1">
        <v>1548</v>
      </c>
      <c r="C258" s="1">
        <f>VLOOKUP(B258,'NOVACART DATA'!$B$2:$C$1000,2,FALSE)</f>
        <v>39</v>
      </c>
      <c r="D258" s="1">
        <v>22</v>
      </c>
      <c r="E258" s="1" t="str">
        <f>VLOOKUP(B258,'NOVACART DATA'!$B$2:$M$1001,5,FALSE)</f>
        <v>Referral</v>
      </c>
      <c r="F258" s="1">
        <v>1</v>
      </c>
      <c r="G258" s="1">
        <v>29.98</v>
      </c>
      <c r="H258" s="1">
        <v>0</v>
      </c>
      <c r="I258" s="17">
        <f t="shared" ref="I258:I321" si="4">F258*G258*(1-H258/100)</f>
        <v>29.98</v>
      </c>
      <c r="J258" s="1">
        <f>VLOOKUP(B258,'NOVACART DATA'!$B$2:$N$1001,13,FALSE)</f>
        <v>0</v>
      </c>
    </row>
    <row r="259" spans="1:10">
      <c r="A259" s="2">
        <f>VLOOKUP(B259,CHOOSE({1,2},'NOVACART DATA'!$B$2:$B$1001,'NOVACART DATA'!$A$2:$A$1001),2,FALSE)</f>
        <v>46025</v>
      </c>
      <c r="B259" s="1">
        <v>1548</v>
      </c>
      <c r="C259" s="1">
        <f>VLOOKUP(B259,'NOVACART DATA'!$B$2:$C$1000,2,FALSE)</f>
        <v>39</v>
      </c>
      <c r="D259" s="1">
        <v>15</v>
      </c>
      <c r="E259" s="1" t="str">
        <f>VLOOKUP(B259,'NOVACART DATA'!$B$2:$M$1001,5,FALSE)</f>
        <v>Referral</v>
      </c>
      <c r="F259" s="1">
        <v>1</v>
      </c>
      <c r="G259" s="1">
        <v>47.71</v>
      </c>
      <c r="H259" s="1">
        <v>10</v>
      </c>
      <c r="I259" s="17">
        <f t="shared" si="4"/>
        <v>42.939</v>
      </c>
      <c r="J259" s="1">
        <f>VLOOKUP(B259,'NOVACART DATA'!$B$2:$N$1001,13,FALSE)</f>
        <v>0</v>
      </c>
    </row>
    <row r="260" spans="1:10">
      <c r="A260" s="2">
        <f>VLOOKUP(B260,CHOOSE({1,2},'NOVACART DATA'!$B$2:$B$1001,'NOVACART DATA'!$A$2:$A$1001),2,FALSE)</f>
        <v>45960</v>
      </c>
      <c r="B260" s="1">
        <v>1055</v>
      </c>
      <c r="C260" s="1">
        <f>VLOOKUP(B260,'NOVACART DATA'!$B$2:$C$1000,2,FALSE)</f>
        <v>40</v>
      </c>
      <c r="D260" s="1">
        <v>12</v>
      </c>
      <c r="E260" s="1" t="str">
        <f>VLOOKUP(B260,'NOVACART DATA'!$B$2:$M$1001,5,FALSE)</f>
        <v>Email</v>
      </c>
      <c r="F260" s="1">
        <v>1</v>
      </c>
      <c r="G260" s="1">
        <v>8.4499999999999993</v>
      </c>
      <c r="H260" s="1">
        <v>0</v>
      </c>
      <c r="I260" s="17">
        <f t="shared" si="4"/>
        <v>8.4499999999999993</v>
      </c>
      <c r="J260" s="1">
        <f>VLOOKUP(B260,'NOVACART DATA'!$B$2:$N$1001,13,FALSE)</f>
        <v>0</v>
      </c>
    </row>
    <row r="261" spans="1:10">
      <c r="A261" s="2">
        <f>VLOOKUP(B261,CHOOSE({1,2},'NOVACART DATA'!$B$2:$B$1001,'NOVACART DATA'!$A$2:$A$1001),2,FALSE)</f>
        <v>45668</v>
      </c>
      <c r="B261" s="1">
        <v>1063</v>
      </c>
      <c r="C261" s="1">
        <f>VLOOKUP(B261,'NOVACART DATA'!$B$2:$C$1000,2,FALSE)</f>
        <v>40</v>
      </c>
      <c r="D261" s="1">
        <v>2</v>
      </c>
      <c r="E261" s="1" t="str">
        <f>VLOOKUP(B261,'NOVACART DATA'!$B$2:$M$1001,5,FALSE)</f>
        <v>Email</v>
      </c>
      <c r="F261" s="1">
        <v>2</v>
      </c>
      <c r="G261" s="1">
        <v>64.02</v>
      </c>
      <c r="H261" s="1">
        <v>0</v>
      </c>
      <c r="I261" s="17">
        <f t="shared" si="4"/>
        <v>128.04</v>
      </c>
      <c r="J261" s="1">
        <f>VLOOKUP(B261,'NOVACART DATA'!$B$2:$N$1001,13,FALSE)</f>
        <v>0</v>
      </c>
    </row>
    <row r="262" spans="1:10">
      <c r="A262" s="2">
        <f>VLOOKUP(B262,CHOOSE({1,2},'NOVACART DATA'!$B$2:$B$1001,'NOVACART DATA'!$A$2:$A$1001),2,FALSE)</f>
        <v>45668</v>
      </c>
      <c r="B262" s="1">
        <v>1063</v>
      </c>
      <c r="C262" s="1">
        <f>VLOOKUP(B262,'NOVACART DATA'!$B$2:$C$1000,2,FALSE)</f>
        <v>40</v>
      </c>
      <c r="D262" s="1">
        <v>4</v>
      </c>
      <c r="E262" s="1" t="str">
        <f>VLOOKUP(B262,'NOVACART DATA'!$B$2:$M$1001,5,FALSE)</f>
        <v>Email</v>
      </c>
      <c r="F262" s="1">
        <v>2</v>
      </c>
      <c r="G262" s="1">
        <v>34.83</v>
      </c>
      <c r="H262" s="1">
        <v>0</v>
      </c>
      <c r="I262" s="17">
        <f t="shared" si="4"/>
        <v>69.66</v>
      </c>
      <c r="J262" s="1">
        <f>VLOOKUP(B262,'NOVACART DATA'!$B$2:$N$1001,13,FALSE)</f>
        <v>0</v>
      </c>
    </row>
    <row r="263" spans="1:10">
      <c r="A263" s="2">
        <f>VLOOKUP(B263,CHOOSE({1,2},'NOVACART DATA'!$B$2:$B$1001,'NOVACART DATA'!$A$2:$A$1001),2,FALSE)</f>
        <v>45668</v>
      </c>
      <c r="B263" s="1">
        <v>1063</v>
      </c>
      <c r="C263" s="1">
        <f>VLOOKUP(B263,'NOVACART DATA'!$B$2:$C$1000,2,FALSE)</f>
        <v>40</v>
      </c>
      <c r="D263" s="1">
        <v>12</v>
      </c>
      <c r="E263" s="1" t="str">
        <f>VLOOKUP(B263,'NOVACART DATA'!$B$2:$M$1001,5,FALSE)</f>
        <v>Email</v>
      </c>
      <c r="F263" s="1">
        <v>3</v>
      </c>
      <c r="G263" s="1">
        <v>8.4499999999999993</v>
      </c>
      <c r="H263" s="1">
        <v>0</v>
      </c>
      <c r="I263" s="17">
        <f t="shared" si="4"/>
        <v>25.349999999999998</v>
      </c>
      <c r="J263" s="1">
        <f>VLOOKUP(B263,'NOVACART DATA'!$B$2:$N$1001,13,FALSE)</f>
        <v>0</v>
      </c>
    </row>
    <row r="264" spans="1:10">
      <c r="A264" s="2">
        <f>VLOOKUP(B264,CHOOSE({1,2},'NOVACART DATA'!$B$2:$B$1001,'NOVACART DATA'!$A$2:$A$1001),2,FALSE)</f>
        <v>45668</v>
      </c>
      <c r="B264" s="1">
        <v>1063</v>
      </c>
      <c r="C264" s="1">
        <f>VLOOKUP(B264,'NOVACART DATA'!$B$2:$C$1000,2,FALSE)</f>
        <v>40</v>
      </c>
      <c r="D264" s="1">
        <v>27</v>
      </c>
      <c r="E264" s="1" t="str">
        <f>VLOOKUP(B264,'NOVACART DATA'!$B$2:$M$1001,5,FALSE)</f>
        <v>Email</v>
      </c>
      <c r="F264" s="1">
        <v>1</v>
      </c>
      <c r="G264" s="1">
        <v>27.3</v>
      </c>
      <c r="H264" s="1">
        <v>0</v>
      </c>
      <c r="I264" s="17">
        <f t="shared" si="4"/>
        <v>27.3</v>
      </c>
      <c r="J264" s="1">
        <f>VLOOKUP(B264,'NOVACART DATA'!$B$2:$N$1001,13,FALSE)</f>
        <v>0</v>
      </c>
    </row>
    <row r="265" spans="1:10">
      <c r="A265" s="2">
        <f>VLOOKUP(B265,CHOOSE({1,2},'NOVACART DATA'!$B$2:$B$1001,'NOVACART DATA'!$A$2:$A$1001),2,FALSE)</f>
        <v>46003</v>
      </c>
      <c r="B265" s="1">
        <v>1263</v>
      </c>
      <c r="C265" s="1">
        <f>VLOOKUP(B265,'NOVACART DATA'!$B$2:$C$1000,2,FALSE)</f>
        <v>41</v>
      </c>
      <c r="D265" s="1">
        <v>25</v>
      </c>
      <c r="E265" s="1" t="str">
        <f>VLOOKUP(B265,'NOVACART DATA'!$B$2:$M$1001,5,FALSE)</f>
        <v>Organic</v>
      </c>
      <c r="F265" s="1">
        <v>1</v>
      </c>
      <c r="G265" s="1">
        <v>17.78</v>
      </c>
      <c r="H265" s="1">
        <v>0</v>
      </c>
      <c r="I265" s="17">
        <f t="shared" si="4"/>
        <v>17.78</v>
      </c>
      <c r="J265" s="1">
        <f>VLOOKUP(B265,'NOVACART DATA'!$B$2:$N$1001,13,FALSE)</f>
        <v>0</v>
      </c>
    </row>
    <row r="266" spans="1:10">
      <c r="A266" s="2">
        <f>VLOOKUP(B266,CHOOSE({1,2},'NOVACART DATA'!$B$2:$B$1001,'NOVACART DATA'!$A$2:$A$1001),2,FALSE)</f>
        <v>46296</v>
      </c>
      <c r="B266" s="1">
        <v>1385</v>
      </c>
      <c r="C266" s="1">
        <f>VLOOKUP(B266,'NOVACART DATA'!$B$2:$C$1000,2,FALSE)</f>
        <v>41</v>
      </c>
      <c r="D266" s="1">
        <v>37</v>
      </c>
      <c r="E266" s="1" t="str">
        <f>VLOOKUP(B266,'NOVACART DATA'!$B$2:$M$1001,5,FALSE)</f>
        <v>Organic</v>
      </c>
      <c r="F266" s="1">
        <v>1</v>
      </c>
      <c r="G266" s="1">
        <v>52.67</v>
      </c>
      <c r="H266" s="1">
        <v>25</v>
      </c>
      <c r="I266" s="17">
        <f t="shared" si="4"/>
        <v>39.502499999999998</v>
      </c>
      <c r="J266" s="1">
        <f>VLOOKUP(B266,'NOVACART DATA'!$B$2:$N$1001,13,FALSE)</f>
        <v>0</v>
      </c>
    </row>
    <row r="267" spans="1:10">
      <c r="A267" s="2">
        <f>VLOOKUP(B267,CHOOSE({1,2},'NOVACART DATA'!$B$2:$B$1001,'NOVACART DATA'!$A$2:$A$1001),2,FALSE)</f>
        <v>46296</v>
      </c>
      <c r="B267" s="1">
        <v>1385</v>
      </c>
      <c r="C267" s="1">
        <f>VLOOKUP(B267,'NOVACART DATA'!$B$2:$C$1000,2,FALSE)</f>
        <v>41</v>
      </c>
      <c r="D267" s="1">
        <v>17</v>
      </c>
      <c r="E267" s="1" t="str">
        <f>VLOOKUP(B267,'NOVACART DATA'!$B$2:$M$1001,5,FALSE)</f>
        <v>Organic</v>
      </c>
      <c r="F267" s="1">
        <v>1</v>
      </c>
      <c r="G267" s="1">
        <v>6.61</v>
      </c>
      <c r="H267" s="1">
        <v>10</v>
      </c>
      <c r="I267" s="17">
        <f t="shared" si="4"/>
        <v>5.9490000000000007</v>
      </c>
      <c r="J267" s="1">
        <f>VLOOKUP(B267,'NOVACART DATA'!$B$2:$N$1001,13,FALSE)</f>
        <v>0</v>
      </c>
    </row>
    <row r="268" spans="1:10">
      <c r="A268" s="2">
        <f>VLOOKUP(B268,CHOOSE({1,2},'NOVACART DATA'!$B$2:$B$1001,'NOVACART DATA'!$A$2:$A$1001),2,FALSE)</f>
        <v>46296</v>
      </c>
      <c r="B268" s="1">
        <v>1385</v>
      </c>
      <c r="C268" s="1">
        <f>VLOOKUP(B268,'NOVACART DATA'!$B$2:$C$1000,2,FALSE)</f>
        <v>41</v>
      </c>
      <c r="D268" s="1">
        <v>19</v>
      </c>
      <c r="E268" s="1" t="str">
        <f>VLOOKUP(B268,'NOVACART DATA'!$B$2:$M$1001,5,FALSE)</f>
        <v>Organic</v>
      </c>
      <c r="F268" s="1">
        <v>1</v>
      </c>
      <c r="G268" s="1">
        <v>50.14</v>
      </c>
      <c r="H268" s="1">
        <v>20</v>
      </c>
      <c r="I268" s="17">
        <f t="shared" si="4"/>
        <v>40.112000000000002</v>
      </c>
      <c r="J268" s="1">
        <f>VLOOKUP(B268,'NOVACART DATA'!$B$2:$N$1001,13,FALSE)</f>
        <v>0</v>
      </c>
    </row>
    <row r="269" spans="1:10">
      <c r="A269" s="2">
        <f>VLOOKUP(B269,CHOOSE({1,2},'NOVACART DATA'!$B$2:$B$1001,'NOVACART DATA'!$A$2:$A$1001),2,FALSE)</f>
        <v>46296</v>
      </c>
      <c r="B269" s="1">
        <v>1385</v>
      </c>
      <c r="C269" s="1">
        <f>VLOOKUP(B269,'NOVACART DATA'!$B$2:$C$1000,2,FALSE)</f>
        <v>41</v>
      </c>
      <c r="D269" s="1">
        <v>1</v>
      </c>
      <c r="E269" s="1" t="str">
        <f>VLOOKUP(B269,'NOVACART DATA'!$B$2:$M$1001,5,FALSE)</f>
        <v>Organic</v>
      </c>
      <c r="F269" s="1">
        <v>1</v>
      </c>
      <c r="G269" s="1">
        <v>47.45</v>
      </c>
      <c r="H269" s="1">
        <v>10</v>
      </c>
      <c r="I269" s="17">
        <f t="shared" si="4"/>
        <v>42.705000000000005</v>
      </c>
      <c r="J269" s="1">
        <f>VLOOKUP(B269,'NOVACART DATA'!$B$2:$N$1001,13,FALSE)</f>
        <v>0</v>
      </c>
    </row>
    <row r="270" spans="1:10">
      <c r="A270" s="2">
        <f>VLOOKUP(B270,CHOOSE({1,2},'NOVACART DATA'!$B$2:$B$1001,'NOVACART DATA'!$A$2:$A$1001),2,FALSE)</f>
        <v>46024</v>
      </c>
      <c r="B270" s="1">
        <v>1445</v>
      </c>
      <c r="C270" s="1">
        <f>VLOOKUP(B270,'NOVACART DATA'!$B$2:$C$1000,2,FALSE)</f>
        <v>41</v>
      </c>
      <c r="D270" s="1" t="str">
        <f>_xlfn.XLOOKUP(E270,'Product Data'!$B$2:$B$100,'Product Data'!$A$2:$A$100,"Not Found")</f>
        <v>Not Found</v>
      </c>
      <c r="E270" s="1" t="str">
        <f>VLOOKUP(B270,'NOVACART DATA'!$B$2:$M$1001,5,FALSE)</f>
        <v>Organic</v>
      </c>
      <c r="F270" s="1">
        <v>1</v>
      </c>
      <c r="G270" s="1">
        <v>70.47</v>
      </c>
      <c r="H270" s="1">
        <v>0</v>
      </c>
      <c r="I270" s="17">
        <f t="shared" si="4"/>
        <v>70.47</v>
      </c>
      <c r="J270" s="1">
        <f>VLOOKUP(B270,'NOVACART DATA'!$B$2:$N$1001,13,FALSE)</f>
        <v>0</v>
      </c>
    </row>
    <row r="271" spans="1:10">
      <c r="A271" s="2">
        <f>VLOOKUP(B271,CHOOSE({1,2},'NOVACART DATA'!$B$2:$B$1001,'NOVACART DATA'!$A$2:$A$1001),2,FALSE)</f>
        <v>46024</v>
      </c>
      <c r="B271" s="1">
        <v>1445</v>
      </c>
      <c r="C271" s="1">
        <f>VLOOKUP(B271,'NOVACART DATA'!$B$2:$C$1000,2,FALSE)</f>
        <v>41</v>
      </c>
      <c r="D271" s="1">
        <v>27</v>
      </c>
      <c r="E271" s="1" t="str">
        <f>VLOOKUP(B271,'NOVACART DATA'!$B$2:$M$1001,5,FALSE)</f>
        <v>Organic</v>
      </c>
      <c r="F271" s="1">
        <v>1</v>
      </c>
      <c r="G271" s="1">
        <v>27.3</v>
      </c>
      <c r="H271" s="1">
        <v>0</v>
      </c>
      <c r="I271" s="17">
        <f t="shared" si="4"/>
        <v>27.3</v>
      </c>
      <c r="J271" s="1">
        <f>VLOOKUP(B271,'NOVACART DATA'!$B$2:$N$1001,13,FALSE)</f>
        <v>0</v>
      </c>
    </row>
    <row r="272" spans="1:10">
      <c r="A272" s="2">
        <f>VLOOKUP(B272,CHOOSE({1,2},'NOVACART DATA'!$B$2:$B$1001,'NOVACART DATA'!$A$2:$A$1001),2,FALSE)</f>
        <v>45985</v>
      </c>
      <c r="B272" s="1">
        <v>1044</v>
      </c>
      <c r="C272" s="1">
        <f>VLOOKUP(B272,'NOVACART DATA'!$B$2:$C$1000,2,FALSE)</f>
        <v>5</v>
      </c>
      <c r="D272" s="1">
        <v>40</v>
      </c>
      <c r="E272" s="1" t="str">
        <f>VLOOKUP(B272,'NOVACART DATA'!$B$2:$M$1001,5,FALSE)</f>
        <v>Email</v>
      </c>
      <c r="F272" s="1">
        <v>3</v>
      </c>
      <c r="G272" s="1">
        <v>47.25</v>
      </c>
      <c r="H272" s="1">
        <v>0</v>
      </c>
      <c r="I272" s="17">
        <f t="shared" si="4"/>
        <v>141.75</v>
      </c>
      <c r="J272" s="1">
        <f>VLOOKUP(B272,'NOVACART DATA'!$B$2:$N$1001,13,FALSE)</f>
        <v>0</v>
      </c>
    </row>
    <row r="273" spans="1:10">
      <c r="A273" s="2">
        <f>VLOOKUP(B273,CHOOSE({1,2},'NOVACART DATA'!$B$2:$B$1001,'NOVACART DATA'!$A$2:$A$1001),2,FALSE)</f>
        <v>45954</v>
      </c>
      <c r="B273" s="1">
        <v>1045</v>
      </c>
      <c r="C273" s="1">
        <f>VLOOKUP(B273,'NOVACART DATA'!$B$2:$C$1000,2,FALSE)</f>
        <v>42</v>
      </c>
      <c r="D273" s="1">
        <v>4</v>
      </c>
      <c r="E273" s="1" t="str">
        <f>VLOOKUP(B273,'NOVACART DATA'!$B$2:$M$1001,5,FALSE)</f>
        <v>Paid Search</v>
      </c>
      <c r="F273" s="1">
        <v>1</v>
      </c>
      <c r="G273" s="1">
        <v>34.83</v>
      </c>
      <c r="H273" s="1">
        <v>0</v>
      </c>
      <c r="I273" s="17">
        <f t="shared" si="4"/>
        <v>34.83</v>
      </c>
      <c r="J273" s="1">
        <f>VLOOKUP(B273,'NOVACART DATA'!$B$2:$N$1001,13,FALSE)</f>
        <v>0</v>
      </c>
    </row>
    <row r="274" spans="1:10">
      <c r="A274" s="2">
        <f>VLOOKUP(B274,CHOOSE({1,2},'NOVACART DATA'!$B$2:$B$1001,'NOVACART DATA'!$A$2:$A$1001),2,FALSE)</f>
        <v>45727</v>
      </c>
      <c r="B274" s="1">
        <v>1072</v>
      </c>
      <c r="C274" s="1">
        <f>VLOOKUP(B274,'NOVACART DATA'!$B$2:$C$1000,2,FALSE)</f>
        <v>42</v>
      </c>
      <c r="D274" s="1">
        <v>18</v>
      </c>
      <c r="E274" s="1" t="str">
        <f>VLOOKUP(B274,'NOVACART DATA'!$B$2:$M$1001,5,FALSE)</f>
        <v>Paid Search</v>
      </c>
      <c r="F274" s="1">
        <v>2</v>
      </c>
      <c r="G274" s="1">
        <v>44.01</v>
      </c>
      <c r="H274" s="1">
        <v>15</v>
      </c>
      <c r="I274" s="17">
        <f t="shared" si="4"/>
        <v>74.816999999999993</v>
      </c>
      <c r="J274" s="1">
        <f>VLOOKUP(B274,'NOVACART DATA'!$B$2:$N$1001,13,FALSE)</f>
        <v>0</v>
      </c>
    </row>
    <row r="275" spans="1:10">
      <c r="A275" s="2">
        <f>VLOOKUP(B275,CHOOSE({1,2},'NOVACART DATA'!$B$2:$B$1001,'NOVACART DATA'!$A$2:$A$1001),2,FALSE)</f>
        <v>45727</v>
      </c>
      <c r="B275" s="1">
        <v>1072</v>
      </c>
      <c r="C275" s="1">
        <f>VLOOKUP(B275,'NOVACART DATA'!$B$2:$C$1000,2,FALSE)</f>
        <v>42</v>
      </c>
      <c r="D275" s="1">
        <v>5</v>
      </c>
      <c r="E275" s="1" t="str">
        <f>VLOOKUP(B275,'NOVACART DATA'!$B$2:$M$1001,5,FALSE)</f>
        <v>Paid Search</v>
      </c>
      <c r="F275" s="1">
        <v>2</v>
      </c>
      <c r="G275" s="1">
        <v>42.53</v>
      </c>
      <c r="H275" s="1">
        <v>25</v>
      </c>
      <c r="I275" s="17">
        <f t="shared" si="4"/>
        <v>63.795000000000002</v>
      </c>
      <c r="J275" s="1">
        <f>VLOOKUP(B275,'NOVACART DATA'!$B$2:$N$1001,13,FALSE)</f>
        <v>0</v>
      </c>
    </row>
    <row r="276" spans="1:10">
      <c r="A276" s="2">
        <f>VLOOKUP(B276,CHOOSE({1,2},'NOVACART DATA'!$B$2:$B$1001,'NOVACART DATA'!$A$2:$A$1001),2,FALSE)</f>
        <v>45978</v>
      </c>
      <c r="B276" s="1">
        <v>1139</v>
      </c>
      <c r="C276" s="1">
        <f>VLOOKUP(B276,'NOVACART DATA'!$B$2:$C$1000,2,FALSE)</f>
        <v>42</v>
      </c>
      <c r="D276" s="1">
        <v>9</v>
      </c>
      <c r="E276" s="1" t="str">
        <f>VLOOKUP(B276,'NOVACART DATA'!$B$2:$M$1001,5,FALSE)</f>
        <v>Paid Search</v>
      </c>
      <c r="F276" s="1">
        <v>1</v>
      </c>
      <c r="G276" s="1">
        <v>20.69</v>
      </c>
      <c r="H276" s="1">
        <v>25</v>
      </c>
      <c r="I276" s="17">
        <f t="shared" si="4"/>
        <v>15.517500000000002</v>
      </c>
      <c r="J276" s="1">
        <f>VLOOKUP(B276,'NOVACART DATA'!$B$2:$N$1001,13,FALSE)</f>
        <v>0</v>
      </c>
    </row>
    <row r="277" spans="1:10">
      <c r="A277" s="2">
        <f>VLOOKUP(B277,CHOOSE({1,2},'NOVACART DATA'!$B$2:$B$1001,'NOVACART DATA'!$A$2:$A$1001),2,FALSE)</f>
        <v>45978</v>
      </c>
      <c r="B277" s="1">
        <v>1139</v>
      </c>
      <c r="C277" s="1">
        <f>VLOOKUP(B277,'NOVACART DATA'!$B$2:$C$1000,2,FALSE)</f>
        <v>42</v>
      </c>
      <c r="D277" s="1">
        <v>16</v>
      </c>
      <c r="E277" s="1" t="str">
        <f>VLOOKUP(B277,'NOVACART DATA'!$B$2:$M$1001,5,FALSE)</f>
        <v>Paid Search</v>
      </c>
      <c r="F277" s="1">
        <v>1</v>
      </c>
      <c r="G277" s="1">
        <v>11.81</v>
      </c>
      <c r="H277" s="1">
        <v>25</v>
      </c>
      <c r="I277" s="17">
        <f t="shared" si="4"/>
        <v>8.8574999999999999</v>
      </c>
      <c r="J277" s="1">
        <f>VLOOKUP(B277,'NOVACART DATA'!$B$2:$N$1001,13,FALSE)</f>
        <v>0</v>
      </c>
    </row>
    <row r="278" spans="1:10">
      <c r="A278" s="2">
        <f>VLOOKUP(B278,CHOOSE({1,2},'NOVACART DATA'!$B$2:$B$1001,'NOVACART DATA'!$A$2:$A$1001),2,FALSE)</f>
        <v>45978</v>
      </c>
      <c r="B278" s="1">
        <v>1139</v>
      </c>
      <c r="C278" s="1">
        <f>VLOOKUP(B278,'NOVACART DATA'!$B$2:$C$1000,2,FALSE)</f>
        <v>42</v>
      </c>
      <c r="D278" s="1">
        <v>35</v>
      </c>
      <c r="E278" s="1" t="str">
        <f>VLOOKUP(B278,'NOVACART DATA'!$B$2:$M$1001,5,FALSE)</f>
        <v>Paid Search</v>
      </c>
      <c r="F278" s="1">
        <v>1</v>
      </c>
      <c r="G278" s="1">
        <v>11.3</v>
      </c>
      <c r="H278" s="1">
        <v>10</v>
      </c>
      <c r="I278" s="17">
        <f t="shared" si="4"/>
        <v>10.170000000000002</v>
      </c>
      <c r="J278" s="1">
        <f>VLOOKUP(B278,'NOVACART DATA'!$B$2:$N$1001,13,FALSE)</f>
        <v>0</v>
      </c>
    </row>
    <row r="279" spans="1:10">
      <c r="A279" s="2">
        <f>VLOOKUP(B279,CHOOSE({1,2},'NOVACART DATA'!$B$2:$B$1001,'NOVACART DATA'!$A$2:$A$1001),2,FALSE)</f>
        <v>45912</v>
      </c>
      <c r="B279" s="1">
        <v>1244</v>
      </c>
      <c r="C279" s="1">
        <f>VLOOKUP(B279,'NOVACART DATA'!$B$2:$C$1000,2,FALSE)</f>
        <v>42</v>
      </c>
      <c r="D279" s="1">
        <v>34</v>
      </c>
      <c r="E279" s="1" t="str">
        <f>VLOOKUP(B279,'NOVACART DATA'!$B$2:$M$1001,5,FALSE)</f>
        <v>Paid Search</v>
      </c>
      <c r="F279" s="1">
        <v>2</v>
      </c>
      <c r="G279" s="1">
        <v>58.26</v>
      </c>
      <c r="H279" s="1">
        <v>0</v>
      </c>
      <c r="I279" s="17">
        <f t="shared" si="4"/>
        <v>116.52</v>
      </c>
      <c r="J279" s="1">
        <f>VLOOKUP(B279,'NOVACART DATA'!$B$2:$N$1001,13,FALSE)</f>
        <v>0</v>
      </c>
    </row>
    <row r="280" spans="1:10">
      <c r="A280" s="2">
        <f>VLOOKUP(B280,CHOOSE({1,2},'NOVACART DATA'!$B$2:$B$1001,'NOVACART DATA'!$A$2:$A$1001),2,FALSE)</f>
        <v>46006</v>
      </c>
      <c r="B280" s="1">
        <v>1280</v>
      </c>
      <c r="C280" s="1">
        <f>VLOOKUP(B280,'NOVACART DATA'!$B$2:$C$1000,2,FALSE)</f>
        <v>42</v>
      </c>
      <c r="D280" s="1">
        <v>36</v>
      </c>
      <c r="E280" s="1" t="str">
        <f>VLOOKUP(B280,'NOVACART DATA'!$B$2:$M$1001,5,FALSE)</f>
        <v>Paid Search</v>
      </c>
      <c r="F280" s="1">
        <v>2</v>
      </c>
      <c r="G280" s="1">
        <v>23.23</v>
      </c>
      <c r="H280" s="1">
        <v>0</v>
      </c>
      <c r="I280" s="17">
        <f t="shared" si="4"/>
        <v>46.46</v>
      </c>
      <c r="J280" s="1">
        <f>VLOOKUP(B280,'NOVACART DATA'!$B$2:$N$1001,13,FALSE)</f>
        <v>0</v>
      </c>
    </row>
    <row r="281" spans="1:10">
      <c r="A281" s="2">
        <f>VLOOKUP(B281,CHOOSE({1,2},'NOVACART DATA'!$B$2:$B$1001,'NOVACART DATA'!$A$2:$A$1001),2,FALSE)</f>
        <v>46006</v>
      </c>
      <c r="B281" s="1">
        <v>1280</v>
      </c>
      <c r="C281" s="1">
        <f>VLOOKUP(B281,'NOVACART DATA'!$B$2:$C$1000,2,FALSE)</f>
        <v>42</v>
      </c>
      <c r="D281" s="1">
        <v>15</v>
      </c>
      <c r="E281" s="1" t="str">
        <f>VLOOKUP(B281,'NOVACART DATA'!$B$2:$M$1001,5,FALSE)</f>
        <v>Paid Search</v>
      </c>
      <c r="F281" s="1">
        <v>3</v>
      </c>
      <c r="G281" s="1">
        <v>47.71</v>
      </c>
      <c r="H281" s="1">
        <v>0</v>
      </c>
      <c r="I281" s="17">
        <f t="shared" si="4"/>
        <v>143.13</v>
      </c>
      <c r="J281" s="1">
        <f>VLOOKUP(B281,'NOVACART DATA'!$B$2:$N$1001,13,FALSE)</f>
        <v>0</v>
      </c>
    </row>
    <row r="282" spans="1:10">
      <c r="A282" s="2">
        <f>VLOOKUP(B282,CHOOSE({1,2},'NOVACART DATA'!$B$2:$B$1001,'NOVACART DATA'!$A$2:$A$1001),2,FALSE)</f>
        <v>46006</v>
      </c>
      <c r="B282" s="1">
        <v>1280</v>
      </c>
      <c r="C282" s="1">
        <f>VLOOKUP(B282,'NOVACART DATA'!$B$2:$C$1000,2,FALSE)</f>
        <v>42</v>
      </c>
      <c r="D282" s="1">
        <v>13</v>
      </c>
      <c r="E282" s="1" t="str">
        <f>VLOOKUP(B282,'NOVACART DATA'!$B$2:$M$1001,5,FALSE)</f>
        <v>Paid Search</v>
      </c>
      <c r="F282" s="1">
        <v>2</v>
      </c>
      <c r="G282" s="1">
        <v>54.9</v>
      </c>
      <c r="H282" s="1">
        <v>0</v>
      </c>
      <c r="I282" s="17">
        <f t="shared" si="4"/>
        <v>109.8</v>
      </c>
      <c r="J282" s="1">
        <f>VLOOKUP(B282,'NOVACART DATA'!$B$2:$N$1001,13,FALSE)</f>
        <v>0</v>
      </c>
    </row>
    <row r="283" spans="1:10">
      <c r="A283" s="2">
        <f>VLOOKUP(B283,CHOOSE({1,2},'NOVACART DATA'!$B$2:$B$1001,'NOVACART DATA'!$A$2:$A$1001),2,FALSE)</f>
        <v>46006</v>
      </c>
      <c r="B283" s="1">
        <v>1280</v>
      </c>
      <c r="C283" s="1">
        <f>VLOOKUP(B283,'NOVACART DATA'!$B$2:$C$1000,2,FALSE)</f>
        <v>42</v>
      </c>
      <c r="D283" s="1">
        <v>15</v>
      </c>
      <c r="E283" s="1" t="str">
        <f>VLOOKUP(B283,'NOVACART DATA'!$B$2:$M$1001,5,FALSE)</f>
        <v>Paid Search</v>
      </c>
      <c r="F283" s="1">
        <v>1</v>
      </c>
      <c r="G283" s="1">
        <v>47.71</v>
      </c>
      <c r="H283" s="1">
        <v>0</v>
      </c>
      <c r="I283" s="17">
        <f t="shared" si="4"/>
        <v>47.71</v>
      </c>
      <c r="J283" s="1">
        <f>VLOOKUP(B283,'NOVACART DATA'!$B$2:$N$1001,13,FALSE)</f>
        <v>0</v>
      </c>
    </row>
    <row r="284" spans="1:10">
      <c r="A284" s="2">
        <f>VLOOKUP(B284,CHOOSE({1,2},'NOVACART DATA'!$B$2:$B$1001,'NOVACART DATA'!$A$2:$A$1001),2,FALSE)</f>
        <v>46055</v>
      </c>
      <c r="B284" s="1">
        <v>1447</v>
      </c>
      <c r="C284" s="1">
        <f>VLOOKUP(B284,'NOVACART DATA'!$B$2:$C$1000,2,FALSE)</f>
        <v>42</v>
      </c>
      <c r="D284" s="1">
        <v>10</v>
      </c>
      <c r="E284" s="1" t="str">
        <f>VLOOKUP(B284,'NOVACART DATA'!$B$2:$M$1001,5,FALSE)</f>
        <v>Paid Search</v>
      </c>
      <c r="F284" s="1">
        <v>1</v>
      </c>
      <c r="G284" s="1">
        <v>62.68</v>
      </c>
      <c r="H284" s="1">
        <v>15</v>
      </c>
      <c r="I284" s="17">
        <f t="shared" si="4"/>
        <v>53.277999999999999</v>
      </c>
      <c r="J284" s="1">
        <f>VLOOKUP(B284,'NOVACART DATA'!$B$2:$N$1001,13,FALSE)</f>
        <v>0</v>
      </c>
    </row>
    <row r="285" spans="1:10">
      <c r="A285" s="2">
        <f>VLOOKUP(B285,CHOOSE({1,2},'NOVACART DATA'!$B$2:$B$1001,'NOVACART DATA'!$A$2:$A$1001),2,FALSE)</f>
        <v>46055</v>
      </c>
      <c r="B285" s="1">
        <v>1447</v>
      </c>
      <c r="C285" s="1">
        <f>VLOOKUP(B285,'NOVACART DATA'!$B$2:$C$1000,2,FALSE)</f>
        <v>42</v>
      </c>
      <c r="D285" s="1">
        <v>34</v>
      </c>
      <c r="E285" s="1" t="str">
        <f>VLOOKUP(B285,'NOVACART DATA'!$B$2:$M$1001,5,FALSE)</f>
        <v>Paid Search</v>
      </c>
      <c r="F285" s="1">
        <v>1</v>
      </c>
      <c r="G285" s="1">
        <v>58.26</v>
      </c>
      <c r="H285" s="1">
        <v>15</v>
      </c>
      <c r="I285" s="17">
        <f t="shared" si="4"/>
        <v>49.520999999999994</v>
      </c>
      <c r="J285" s="1">
        <f>VLOOKUP(B285,'NOVACART DATA'!$B$2:$N$1001,13,FALSE)</f>
        <v>0</v>
      </c>
    </row>
    <row r="286" spans="1:10">
      <c r="A286" s="2">
        <f>VLOOKUP(B286,CHOOSE({1,2},'NOVACART DATA'!$B$2:$B$1001,'NOVACART DATA'!$A$2:$A$1001),2,FALSE)</f>
        <v>45994</v>
      </c>
      <c r="B286" s="1">
        <v>1218</v>
      </c>
      <c r="C286" s="1">
        <f>VLOOKUP(B286,'NOVACART DATA'!$B$2:$C$1000,2,FALSE)</f>
        <v>43</v>
      </c>
      <c r="D286" s="1">
        <v>6</v>
      </c>
      <c r="E286" s="1" t="str">
        <f>VLOOKUP(B286,'NOVACART DATA'!$B$2:$M$1001,5,FALSE)</f>
        <v>Paid Search</v>
      </c>
      <c r="F286" s="1">
        <v>2</v>
      </c>
      <c r="G286" s="1">
        <v>70.47</v>
      </c>
      <c r="H286" s="1">
        <v>0</v>
      </c>
      <c r="I286" s="17">
        <f t="shared" si="4"/>
        <v>140.94</v>
      </c>
      <c r="J286" s="1">
        <f>VLOOKUP(B286,'NOVACART DATA'!$B$2:$N$1001,13,FALSE)</f>
        <v>0</v>
      </c>
    </row>
    <row r="287" spans="1:10">
      <c r="A287" s="2">
        <f>VLOOKUP(B287,CHOOSE({1,2},'NOVACART DATA'!$B$2:$B$1001,'NOVACART DATA'!$A$2:$A$1001),2,FALSE)</f>
        <v>46044</v>
      </c>
      <c r="B287" s="1">
        <v>1420</v>
      </c>
      <c r="C287" s="1">
        <f>VLOOKUP(B287,'NOVACART DATA'!$B$2:$C$1000,2,FALSE)</f>
        <v>43</v>
      </c>
      <c r="D287" s="1">
        <v>7</v>
      </c>
      <c r="E287" s="1" t="str">
        <f>VLOOKUP(B287,'NOVACART DATA'!$B$2:$M$1001,5,FALSE)</f>
        <v>Organic</v>
      </c>
      <c r="F287" s="1">
        <v>1</v>
      </c>
      <c r="G287" s="1">
        <v>79.39</v>
      </c>
      <c r="H287" s="1">
        <v>10</v>
      </c>
      <c r="I287" s="17">
        <f t="shared" si="4"/>
        <v>71.451000000000008</v>
      </c>
      <c r="J287" s="1">
        <f>VLOOKUP(B287,'NOVACART DATA'!$B$2:$N$1001,13,FALSE)</f>
        <v>0</v>
      </c>
    </row>
    <row r="288" spans="1:10">
      <c r="A288" s="2">
        <f>VLOOKUP(B288,CHOOSE({1,2},'NOVACART DATA'!$B$2:$B$1001,'NOVACART DATA'!$A$2:$A$1001),2,FALSE)</f>
        <v>46044</v>
      </c>
      <c r="B288" s="1">
        <v>1420</v>
      </c>
      <c r="C288" s="1">
        <f>VLOOKUP(B288,'NOVACART DATA'!$B$2:$C$1000,2,FALSE)</f>
        <v>43</v>
      </c>
      <c r="D288" s="1">
        <v>16</v>
      </c>
      <c r="E288" s="1" t="str">
        <f>VLOOKUP(B288,'NOVACART DATA'!$B$2:$M$1001,5,FALSE)</f>
        <v>Organic</v>
      </c>
      <c r="F288" s="1">
        <v>3</v>
      </c>
      <c r="G288" s="1">
        <v>11.81</v>
      </c>
      <c r="H288" s="1">
        <v>15</v>
      </c>
      <c r="I288" s="17">
        <f t="shared" si="4"/>
        <v>30.115499999999997</v>
      </c>
      <c r="J288" s="1">
        <f>VLOOKUP(B288,'NOVACART DATA'!$B$2:$N$1001,13,FALSE)</f>
        <v>0</v>
      </c>
    </row>
    <row r="289" spans="1:10">
      <c r="A289" s="2">
        <f>VLOOKUP(B289,CHOOSE({1,2},'NOVACART DATA'!$B$2:$B$1001,'NOVACART DATA'!$A$2:$A$1001),2,FALSE)</f>
        <v>46020</v>
      </c>
      <c r="B289" s="1">
        <v>1350</v>
      </c>
      <c r="C289" s="1">
        <f>VLOOKUP(B289,'NOVACART DATA'!$B$2:$C$1000,2,FALSE)</f>
        <v>44</v>
      </c>
      <c r="D289" s="1">
        <v>39</v>
      </c>
      <c r="E289" s="1" t="str">
        <f>VLOOKUP(B289,'NOVACART DATA'!$B$2:$M$1001,5,FALSE)</f>
        <v>Email</v>
      </c>
      <c r="F289" s="1">
        <v>2</v>
      </c>
      <c r="G289" s="1">
        <v>39.979999999999997</v>
      </c>
      <c r="H289" s="1">
        <v>0</v>
      </c>
      <c r="I289" s="17">
        <f t="shared" si="4"/>
        <v>79.959999999999994</v>
      </c>
      <c r="J289" s="1">
        <f>VLOOKUP(B289,'NOVACART DATA'!$B$2:$N$1001,13,FALSE)</f>
        <v>0</v>
      </c>
    </row>
    <row r="290" spans="1:10">
      <c r="A290" s="2">
        <f>VLOOKUP(B290,CHOOSE({1,2},'NOVACART DATA'!$B$2:$B$1001,'NOVACART DATA'!$A$2:$A$1001),2,FALSE)</f>
        <v>45985</v>
      </c>
      <c r="B290" s="1">
        <v>1044</v>
      </c>
      <c r="C290" s="1">
        <f>VLOOKUP(B290,'NOVACART DATA'!$B$2:$C$1000,2,FALSE)</f>
        <v>5</v>
      </c>
      <c r="D290" s="1">
        <v>9</v>
      </c>
      <c r="E290" s="1" t="str">
        <f>VLOOKUP(B290,'NOVACART DATA'!$B$2:$M$1001,5,FALSE)</f>
        <v>Email</v>
      </c>
      <c r="F290" s="1">
        <v>1</v>
      </c>
      <c r="G290" s="1">
        <v>20.69</v>
      </c>
      <c r="H290" s="1">
        <v>0</v>
      </c>
      <c r="I290" s="17">
        <f t="shared" si="4"/>
        <v>20.69</v>
      </c>
      <c r="J290" s="1">
        <f>VLOOKUP(B290,'NOVACART DATA'!$B$2:$N$1001,13,FALSE)</f>
        <v>0</v>
      </c>
    </row>
    <row r="291" spans="1:10">
      <c r="A291" s="2">
        <f>VLOOKUP(B291,CHOOSE({1,2},'NOVACART DATA'!$B$2:$B$1001,'NOVACART DATA'!$A$2:$A$1001),2,FALSE)</f>
        <v>46003</v>
      </c>
      <c r="B291" s="1">
        <v>1264</v>
      </c>
      <c r="C291" s="1">
        <f>VLOOKUP(B291,'NOVACART DATA'!$B$2:$C$1000,2,FALSE)</f>
        <v>45</v>
      </c>
      <c r="D291" s="1">
        <v>35</v>
      </c>
      <c r="E291" s="1" t="str">
        <f>VLOOKUP(B291,'NOVACART DATA'!$B$2:$M$1001,5,FALSE)</f>
        <v>Direct</v>
      </c>
      <c r="F291" s="1">
        <v>1</v>
      </c>
      <c r="G291" s="1">
        <v>11.3</v>
      </c>
      <c r="H291" s="1">
        <v>0</v>
      </c>
      <c r="I291" s="17">
        <f t="shared" si="4"/>
        <v>11.3</v>
      </c>
      <c r="J291" s="1">
        <f>VLOOKUP(B291,'NOVACART DATA'!$B$2:$N$1001,13,FALSE)</f>
        <v>0</v>
      </c>
    </row>
    <row r="292" spans="1:10">
      <c r="A292" s="2">
        <f>VLOOKUP(B292,CHOOSE({1,2},'NOVACART DATA'!$B$2:$B$1001,'NOVACART DATA'!$A$2:$A$1001),2,FALSE)</f>
        <v>46039</v>
      </c>
      <c r="B292" s="1">
        <v>1409</v>
      </c>
      <c r="C292" s="1">
        <f>VLOOKUP(B292,'NOVACART DATA'!$B$2:$C$1000,2,FALSE)</f>
        <v>45</v>
      </c>
      <c r="D292" s="1">
        <v>3</v>
      </c>
      <c r="E292" s="1" t="str">
        <f>VLOOKUP(B292,'NOVACART DATA'!$B$2:$M$1001,5,FALSE)</f>
        <v>Direct</v>
      </c>
      <c r="F292" s="1">
        <v>3</v>
      </c>
      <c r="G292" s="1">
        <v>25.47</v>
      </c>
      <c r="H292" s="1">
        <v>0</v>
      </c>
      <c r="I292" s="17">
        <f t="shared" si="4"/>
        <v>76.41</v>
      </c>
      <c r="J292" s="1">
        <f>VLOOKUP(B292,'NOVACART DATA'!$B$2:$N$1001,13,FALSE)</f>
        <v>0</v>
      </c>
    </row>
    <row r="293" spans="1:10">
      <c r="A293" s="2">
        <f>VLOOKUP(B293,CHOOSE({1,2},'NOVACART DATA'!$B$2:$B$1001,'NOVACART DATA'!$A$2:$A$1001),2,FALSE)</f>
        <v>46039</v>
      </c>
      <c r="B293" s="1">
        <v>1409</v>
      </c>
      <c r="C293" s="1">
        <f>VLOOKUP(B293,'NOVACART DATA'!$B$2:$C$1000,2,FALSE)</f>
        <v>45</v>
      </c>
      <c r="D293" s="1">
        <v>19</v>
      </c>
      <c r="E293" s="1" t="str">
        <f>VLOOKUP(B293,'NOVACART DATA'!$B$2:$M$1001,5,FALSE)</f>
        <v>Direct</v>
      </c>
      <c r="F293" s="1">
        <v>1</v>
      </c>
      <c r="G293" s="1">
        <v>50.14</v>
      </c>
      <c r="H293" s="1">
        <v>0</v>
      </c>
      <c r="I293" s="17">
        <f t="shared" si="4"/>
        <v>50.14</v>
      </c>
      <c r="J293" s="1">
        <f>VLOOKUP(B293,'NOVACART DATA'!$B$2:$N$1001,13,FALSE)</f>
        <v>0</v>
      </c>
    </row>
    <row r="294" spans="1:10">
      <c r="A294" s="2">
        <f>VLOOKUP(B294,CHOOSE({1,2},'NOVACART DATA'!$B$2:$B$1001,'NOVACART DATA'!$A$2:$A$1001),2,FALSE)</f>
        <v>45969</v>
      </c>
      <c r="B294" s="1">
        <v>1090</v>
      </c>
      <c r="C294" s="1">
        <f>VLOOKUP(B294,'NOVACART DATA'!$B$2:$C$1000,2,FALSE)</f>
        <v>46</v>
      </c>
      <c r="D294" s="1">
        <v>11</v>
      </c>
      <c r="E294" s="1" t="str">
        <f>VLOOKUP(B294,'NOVACART DATA'!$B$2:$M$1001,5,FALSE)</f>
        <v>Email</v>
      </c>
      <c r="F294" s="1">
        <v>3</v>
      </c>
      <c r="G294" s="1">
        <v>58.35</v>
      </c>
      <c r="H294" s="1">
        <v>10</v>
      </c>
      <c r="I294" s="17">
        <f t="shared" si="4"/>
        <v>157.54500000000002</v>
      </c>
      <c r="J294" s="1">
        <f>VLOOKUP(B294,'NOVACART DATA'!$B$2:$N$1001,13,FALSE)</f>
        <v>0</v>
      </c>
    </row>
    <row r="295" spans="1:10">
      <c r="A295" s="2">
        <f>VLOOKUP(B295,CHOOSE({1,2},'NOVACART DATA'!$B$2:$B$1001,'NOVACART DATA'!$A$2:$A$1001),2,FALSE)</f>
        <v>45911</v>
      </c>
      <c r="B295" s="1">
        <v>1096</v>
      </c>
      <c r="C295" s="1">
        <f>VLOOKUP(B295,'NOVACART DATA'!$B$2:$C$1000,2,FALSE)</f>
        <v>46</v>
      </c>
      <c r="D295" s="1">
        <v>21</v>
      </c>
      <c r="E295" s="1" t="str">
        <f>VLOOKUP(B295,'NOVACART DATA'!$B$2:$M$1001,5,FALSE)</f>
        <v>Email</v>
      </c>
      <c r="F295" s="1">
        <v>1</v>
      </c>
      <c r="G295" s="1">
        <v>49.37</v>
      </c>
      <c r="H295" s="1">
        <v>10</v>
      </c>
      <c r="I295" s="17">
        <f t="shared" si="4"/>
        <v>44.433</v>
      </c>
      <c r="J295" s="1">
        <f>VLOOKUP(B295,'NOVACART DATA'!$B$2:$N$1001,13,FALSE)</f>
        <v>0</v>
      </c>
    </row>
    <row r="296" spans="1:10">
      <c r="A296" s="2">
        <f>VLOOKUP(B296,CHOOSE({1,2},'NOVACART DATA'!$B$2:$B$1001,'NOVACART DATA'!$A$2:$A$1001),2,FALSE)</f>
        <v>45911</v>
      </c>
      <c r="B296" s="1">
        <v>1096</v>
      </c>
      <c r="C296" s="1">
        <f>VLOOKUP(B296,'NOVACART DATA'!$B$2:$C$1000,2,FALSE)</f>
        <v>46</v>
      </c>
      <c r="D296" s="1">
        <v>33</v>
      </c>
      <c r="E296" s="1" t="str">
        <f>VLOOKUP(B296,'NOVACART DATA'!$B$2:$M$1001,5,FALSE)</f>
        <v>Email</v>
      </c>
      <c r="F296" s="1">
        <v>1</v>
      </c>
      <c r="G296" s="1">
        <v>40.94</v>
      </c>
      <c r="H296" s="1">
        <v>10</v>
      </c>
      <c r="I296" s="17">
        <f t="shared" si="4"/>
        <v>36.845999999999997</v>
      </c>
      <c r="J296" s="1">
        <f>VLOOKUP(B296,'NOVACART DATA'!$B$2:$N$1001,13,FALSE)</f>
        <v>0</v>
      </c>
    </row>
    <row r="297" spans="1:10">
      <c r="A297" s="2">
        <f>VLOOKUP(B297,CHOOSE({1,2},'NOVACART DATA'!$B$2:$B$1001,'NOVACART DATA'!$A$2:$A$1001),2,FALSE)</f>
        <v>45985</v>
      </c>
      <c r="B297" s="1">
        <v>1044</v>
      </c>
      <c r="C297" s="1">
        <f>VLOOKUP(B297,'NOVACART DATA'!$B$2:$C$1000,2,FALSE)</f>
        <v>5</v>
      </c>
      <c r="D297" s="1">
        <v>32</v>
      </c>
      <c r="E297" s="1" t="str">
        <f>VLOOKUP(B297,'NOVACART DATA'!$B$2:$M$1001,5,FALSE)</f>
        <v>Email</v>
      </c>
      <c r="F297" s="1">
        <v>1</v>
      </c>
      <c r="G297" s="1">
        <v>61.06</v>
      </c>
      <c r="H297" s="1">
        <v>0</v>
      </c>
      <c r="I297" s="17">
        <f t="shared" si="4"/>
        <v>61.06</v>
      </c>
      <c r="J297" s="1">
        <f>VLOOKUP(B297,'NOVACART DATA'!$B$2:$N$1001,13,FALSE)</f>
        <v>0</v>
      </c>
    </row>
    <row r="298" spans="1:10">
      <c r="A298" s="2">
        <f>VLOOKUP(B298,CHOOSE({1,2},'NOVACART DATA'!$B$2:$B$1001,'NOVACART DATA'!$A$2:$A$1001),2,FALSE)</f>
        <v>46016</v>
      </c>
      <c r="B298" s="1">
        <v>1140</v>
      </c>
      <c r="C298" s="1">
        <f>VLOOKUP(B298,'NOVACART DATA'!$B$2:$C$1000,2,FALSE)</f>
        <v>46</v>
      </c>
      <c r="D298" s="1">
        <v>40</v>
      </c>
      <c r="E298" s="1" t="str">
        <f>VLOOKUP(B298,'NOVACART DATA'!$B$2:$M$1001,5,FALSE)</f>
        <v>Email</v>
      </c>
      <c r="F298" s="1">
        <v>1</v>
      </c>
      <c r="G298" s="1">
        <v>47.25</v>
      </c>
      <c r="H298" s="1">
        <v>0</v>
      </c>
      <c r="I298" s="17">
        <f t="shared" si="4"/>
        <v>47.25</v>
      </c>
      <c r="J298" s="1">
        <f>VLOOKUP(B298,'NOVACART DATA'!$B$2:$N$1001,13,FALSE)</f>
        <v>0</v>
      </c>
    </row>
    <row r="299" spans="1:10">
      <c r="A299" s="2">
        <f>VLOOKUP(B299,CHOOSE({1,2},'NOVACART DATA'!$B$2:$B$1001,'NOVACART DATA'!$A$2:$A$1001),2,FALSE)</f>
        <v>46016</v>
      </c>
      <c r="B299" s="1">
        <v>1140</v>
      </c>
      <c r="C299" s="1">
        <f>VLOOKUP(B299,'NOVACART DATA'!$B$2:$C$1000,2,FALSE)</f>
        <v>46</v>
      </c>
      <c r="D299" s="1">
        <v>31</v>
      </c>
      <c r="E299" s="1" t="str">
        <f>VLOOKUP(B299,'NOVACART DATA'!$B$2:$M$1001,5,FALSE)</f>
        <v>Email</v>
      </c>
      <c r="F299" s="1">
        <v>3</v>
      </c>
      <c r="G299" s="1">
        <v>57.51</v>
      </c>
      <c r="H299" s="1">
        <v>10</v>
      </c>
      <c r="I299" s="17">
        <f t="shared" si="4"/>
        <v>155.27700000000002</v>
      </c>
      <c r="J299" s="1">
        <f>VLOOKUP(B299,'NOVACART DATA'!$B$2:$N$1001,13,FALSE)</f>
        <v>0</v>
      </c>
    </row>
    <row r="300" spans="1:10">
      <c r="A300" s="2">
        <f>VLOOKUP(B300,CHOOSE({1,2},'NOVACART DATA'!$B$2:$B$1001,'NOVACART DATA'!$A$2:$A$1001),2,FALSE)</f>
        <v>46016</v>
      </c>
      <c r="B300" s="1">
        <v>1140</v>
      </c>
      <c r="C300" s="1">
        <f>VLOOKUP(B300,'NOVACART DATA'!$B$2:$C$1000,2,FALSE)</f>
        <v>46</v>
      </c>
      <c r="D300" s="1">
        <v>3</v>
      </c>
      <c r="E300" s="1" t="str">
        <f>VLOOKUP(B300,'NOVACART DATA'!$B$2:$M$1001,5,FALSE)</f>
        <v>Email</v>
      </c>
      <c r="F300" s="1">
        <v>1</v>
      </c>
      <c r="G300" s="1">
        <v>25.47</v>
      </c>
      <c r="H300" s="1">
        <v>10</v>
      </c>
      <c r="I300" s="17">
        <f t="shared" si="4"/>
        <v>22.922999999999998</v>
      </c>
      <c r="J300" s="1">
        <f>VLOOKUP(B300,'NOVACART DATA'!$B$2:$N$1001,13,FALSE)</f>
        <v>0</v>
      </c>
    </row>
    <row r="301" spans="1:10">
      <c r="A301" s="2">
        <f>VLOOKUP(B301,CHOOSE({1,2},'NOVACART DATA'!$B$2:$B$1001,'NOVACART DATA'!$A$2:$A$1001),2,FALSE)</f>
        <v>46016</v>
      </c>
      <c r="B301" s="1">
        <v>1140</v>
      </c>
      <c r="C301" s="1">
        <f>VLOOKUP(B301,'NOVACART DATA'!$B$2:$C$1000,2,FALSE)</f>
        <v>46</v>
      </c>
      <c r="D301" s="1">
        <v>5</v>
      </c>
      <c r="E301" s="1" t="str">
        <f>VLOOKUP(B301,'NOVACART DATA'!$B$2:$M$1001,5,FALSE)</f>
        <v>Email</v>
      </c>
      <c r="F301" s="1">
        <v>1</v>
      </c>
      <c r="G301" s="1">
        <v>42.53</v>
      </c>
      <c r="H301" s="1">
        <v>5</v>
      </c>
      <c r="I301" s="17">
        <f t="shared" si="4"/>
        <v>40.403500000000001</v>
      </c>
      <c r="J301" s="1">
        <f>VLOOKUP(B301,'NOVACART DATA'!$B$2:$N$1001,13,FALSE)</f>
        <v>0</v>
      </c>
    </row>
    <row r="302" spans="1:10">
      <c r="A302" s="2">
        <f>VLOOKUP(B302,CHOOSE({1,2},'NOVACART DATA'!$B$2:$B$1001,'NOVACART DATA'!$A$2:$A$1001),2,FALSE)</f>
        <v>45979</v>
      </c>
      <c r="B302" s="1">
        <v>1145</v>
      </c>
      <c r="C302" s="1">
        <f>VLOOKUP(B302,'NOVACART DATA'!$B$2:$C$1000,2,FALSE)</f>
        <v>46</v>
      </c>
      <c r="D302" s="1">
        <v>21</v>
      </c>
      <c r="E302" s="1" t="str">
        <f>VLOOKUP(B302,'NOVACART DATA'!$B$2:$M$1001,5,FALSE)</f>
        <v>Email</v>
      </c>
      <c r="F302" s="1">
        <v>1</v>
      </c>
      <c r="G302" s="1">
        <v>49.37</v>
      </c>
      <c r="H302" s="1">
        <v>0</v>
      </c>
      <c r="I302" s="17">
        <f t="shared" si="4"/>
        <v>49.37</v>
      </c>
      <c r="J302" s="1">
        <f>VLOOKUP(B302,'NOVACART DATA'!$B$2:$N$1001,13,FALSE)</f>
        <v>1</v>
      </c>
    </row>
    <row r="303" spans="1:10">
      <c r="A303" s="2">
        <f>VLOOKUP(B303,CHOOSE({1,2},'NOVACART DATA'!$B$2:$B$1001,'NOVACART DATA'!$A$2:$A$1001),2,FALSE)</f>
        <v>45979</v>
      </c>
      <c r="B303" s="1">
        <v>1145</v>
      </c>
      <c r="C303" s="1">
        <f>VLOOKUP(B303,'NOVACART DATA'!$B$2:$C$1000,2,FALSE)</f>
        <v>46</v>
      </c>
      <c r="D303" s="1">
        <v>24</v>
      </c>
      <c r="E303" s="1" t="str">
        <f>VLOOKUP(B303,'NOVACART DATA'!$B$2:$M$1001,5,FALSE)</f>
        <v>Email</v>
      </c>
      <c r="F303" s="1">
        <v>2</v>
      </c>
      <c r="G303" s="1">
        <v>43.42</v>
      </c>
      <c r="H303" s="1">
        <v>0</v>
      </c>
      <c r="I303" s="17">
        <f t="shared" si="4"/>
        <v>86.84</v>
      </c>
      <c r="J303" s="1">
        <f>VLOOKUP(B303,'NOVACART DATA'!$B$2:$N$1001,13,FALSE)</f>
        <v>1</v>
      </c>
    </row>
    <row r="304" spans="1:10">
      <c r="A304" s="2">
        <f>VLOOKUP(B304,CHOOSE({1,2},'NOVACART DATA'!$B$2:$B$1001,'NOVACART DATA'!$A$2:$A$1001),2,FALSE)</f>
        <v>45979</v>
      </c>
      <c r="B304" s="1">
        <v>1145</v>
      </c>
      <c r="C304" s="1">
        <f>VLOOKUP(B304,'NOVACART DATA'!$B$2:$C$1000,2,FALSE)</f>
        <v>46</v>
      </c>
      <c r="D304" s="1">
        <v>11</v>
      </c>
      <c r="E304" s="1" t="str">
        <f>VLOOKUP(B304,'NOVACART DATA'!$B$2:$M$1001,5,FALSE)</f>
        <v>Email</v>
      </c>
      <c r="F304" s="1">
        <v>2</v>
      </c>
      <c r="G304" s="1">
        <v>58.35</v>
      </c>
      <c r="H304" s="1">
        <v>0</v>
      </c>
      <c r="I304" s="17">
        <f t="shared" si="4"/>
        <v>116.7</v>
      </c>
      <c r="J304" s="1">
        <f>VLOOKUP(B304,'NOVACART DATA'!$B$2:$N$1001,13,FALSE)</f>
        <v>1</v>
      </c>
    </row>
    <row r="305" spans="1:10">
      <c r="A305" s="2">
        <f>VLOOKUP(B305,CHOOSE({1,2},'NOVACART DATA'!$B$2:$B$1001,'NOVACART DATA'!$A$2:$A$1001),2,FALSE)</f>
        <v>45991</v>
      </c>
      <c r="B305" s="1">
        <v>1200</v>
      </c>
      <c r="C305" s="1">
        <f>VLOOKUP(B305,'NOVACART DATA'!$B$2:$C$1000,2,FALSE)</f>
        <v>46</v>
      </c>
      <c r="D305" s="1">
        <v>36</v>
      </c>
      <c r="E305" s="1" t="str">
        <f>VLOOKUP(B305,'NOVACART DATA'!$B$2:$M$1001,5,FALSE)</f>
        <v>Email</v>
      </c>
      <c r="F305" s="1">
        <v>1</v>
      </c>
      <c r="G305" s="1">
        <v>23.23</v>
      </c>
      <c r="H305" s="1">
        <v>0</v>
      </c>
      <c r="I305" s="17">
        <f t="shared" si="4"/>
        <v>23.23</v>
      </c>
      <c r="J305" s="1">
        <f>VLOOKUP(B305,'NOVACART DATA'!$B$2:$N$1001,13,FALSE)</f>
        <v>0</v>
      </c>
    </row>
    <row r="306" spans="1:10">
      <c r="A306" s="2">
        <f>VLOOKUP(B306,CHOOSE({1,2},'NOVACART DATA'!$B$2:$B$1001,'NOVACART DATA'!$A$2:$A$1001),2,FALSE)</f>
        <v>46005</v>
      </c>
      <c r="B306" s="1">
        <v>1276</v>
      </c>
      <c r="C306" s="1">
        <f>VLOOKUP(B306,'NOVACART DATA'!$B$2:$C$1000,2,FALSE)</f>
        <v>46</v>
      </c>
      <c r="D306" s="1">
        <v>32</v>
      </c>
      <c r="E306" s="1" t="str">
        <f>VLOOKUP(B306,'NOVACART DATA'!$B$2:$M$1001,5,FALSE)</f>
        <v>Email</v>
      </c>
      <c r="F306" s="1">
        <v>1</v>
      </c>
      <c r="G306" s="1">
        <v>61.06</v>
      </c>
      <c r="H306" s="1">
        <v>0</v>
      </c>
      <c r="I306" s="17">
        <f t="shared" si="4"/>
        <v>61.06</v>
      </c>
      <c r="J306" s="1">
        <f>VLOOKUP(B306,'NOVACART DATA'!$B$2:$N$1001,13,FALSE)</f>
        <v>0</v>
      </c>
    </row>
    <row r="307" spans="1:10">
      <c r="A307" s="2">
        <f>VLOOKUP(B307,CHOOSE({1,2},'NOVACART DATA'!$B$2:$B$1001,'NOVACART DATA'!$A$2:$A$1001),2,FALSE)</f>
        <v>46005</v>
      </c>
      <c r="B307" s="1">
        <v>1276</v>
      </c>
      <c r="C307" s="1">
        <f>VLOOKUP(B307,'NOVACART DATA'!$B$2:$C$1000,2,FALSE)</f>
        <v>46</v>
      </c>
      <c r="D307" s="1">
        <v>22</v>
      </c>
      <c r="E307" s="1" t="str">
        <f>VLOOKUP(B307,'NOVACART DATA'!$B$2:$M$1001,5,FALSE)</f>
        <v>Email</v>
      </c>
      <c r="F307" s="1">
        <v>2</v>
      </c>
      <c r="G307" s="1">
        <v>29.98</v>
      </c>
      <c r="H307" s="1">
        <v>5</v>
      </c>
      <c r="I307" s="17">
        <f t="shared" si="4"/>
        <v>56.961999999999996</v>
      </c>
      <c r="J307" s="1">
        <f>VLOOKUP(B307,'NOVACART DATA'!$B$2:$N$1001,13,FALSE)</f>
        <v>0</v>
      </c>
    </row>
    <row r="308" spans="1:10">
      <c r="A308" s="2">
        <f>VLOOKUP(B308,CHOOSE({1,2},'NOVACART DATA'!$B$2:$B$1001,'NOVACART DATA'!$A$2:$A$1001),2,FALSE)</f>
        <v>46005</v>
      </c>
      <c r="B308" s="1">
        <v>1276</v>
      </c>
      <c r="C308" s="1">
        <f>VLOOKUP(B308,'NOVACART DATA'!$B$2:$C$1000,2,FALSE)</f>
        <v>46</v>
      </c>
      <c r="D308" s="1">
        <v>29</v>
      </c>
      <c r="E308" s="1" t="str">
        <f>VLOOKUP(B308,'NOVACART DATA'!$B$2:$M$1001,5,FALSE)</f>
        <v>Email</v>
      </c>
      <c r="F308" s="1">
        <v>1</v>
      </c>
      <c r="G308" s="1">
        <v>45.67</v>
      </c>
      <c r="H308" s="1">
        <v>0</v>
      </c>
      <c r="I308" s="17">
        <f t="shared" si="4"/>
        <v>45.67</v>
      </c>
      <c r="J308" s="1">
        <f>VLOOKUP(B308,'NOVACART DATA'!$B$2:$N$1001,13,FALSE)</f>
        <v>0</v>
      </c>
    </row>
    <row r="309" spans="1:10">
      <c r="A309" s="2">
        <f>VLOOKUP(B309,CHOOSE({1,2},'NOVACART DATA'!$B$2:$B$1001,'NOVACART DATA'!$A$2:$A$1001),2,FALSE)</f>
        <v>46010</v>
      </c>
      <c r="B309" s="1">
        <v>1297</v>
      </c>
      <c r="C309" s="1">
        <f>VLOOKUP(B309,'NOVACART DATA'!$B$2:$C$1000,2,FALSE)</f>
        <v>46</v>
      </c>
      <c r="D309" s="1">
        <v>39</v>
      </c>
      <c r="E309" s="1" t="str">
        <f>VLOOKUP(B309,'NOVACART DATA'!$B$2:$M$1001,5,FALSE)</f>
        <v>Email</v>
      </c>
      <c r="F309" s="1">
        <v>3</v>
      </c>
      <c r="G309" s="1">
        <v>39.979999999999997</v>
      </c>
      <c r="H309" s="1">
        <v>5</v>
      </c>
      <c r="I309" s="17">
        <f t="shared" si="4"/>
        <v>113.943</v>
      </c>
      <c r="J309" s="1">
        <f>VLOOKUP(B309,'NOVACART DATA'!$B$2:$N$1001,13,FALSE)</f>
        <v>0</v>
      </c>
    </row>
    <row r="310" spans="1:10">
      <c r="A310" s="2">
        <f>VLOOKUP(B310,CHOOSE({1,2},'NOVACART DATA'!$B$2:$B$1001,'NOVACART DATA'!$A$2:$A$1001),2,FALSE)</f>
        <v>46015</v>
      </c>
      <c r="B310" s="1">
        <v>1318</v>
      </c>
      <c r="C310" s="1">
        <f>VLOOKUP(B310,'NOVACART DATA'!$B$2:$C$1000,2,FALSE)</f>
        <v>46</v>
      </c>
      <c r="D310" s="1">
        <v>28</v>
      </c>
      <c r="E310" s="1" t="str">
        <f>VLOOKUP(B310,'NOVACART DATA'!$B$2:$M$1001,5,FALSE)</f>
        <v>Email</v>
      </c>
      <c r="F310" s="1">
        <v>1</v>
      </c>
      <c r="G310" s="1">
        <v>21.24</v>
      </c>
      <c r="H310" s="1">
        <v>25</v>
      </c>
      <c r="I310" s="17">
        <f t="shared" si="4"/>
        <v>15.93</v>
      </c>
      <c r="J310" s="1">
        <f>VLOOKUP(B310,'NOVACART DATA'!$B$2:$N$1001,13,FALSE)</f>
        <v>0</v>
      </c>
    </row>
    <row r="311" spans="1:10">
      <c r="A311" s="2">
        <f>VLOOKUP(B311,CHOOSE({1,2},'NOVACART DATA'!$B$2:$B$1001,'NOVACART DATA'!$A$2:$A$1001),2,FALSE)</f>
        <v>46016</v>
      </c>
      <c r="B311" s="1">
        <v>1324</v>
      </c>
      <c r="C311" s="1">
        <f>VLOOKUP(B311,'NOVACART DATA'!$B$2:$C$1000,2,FALSE)</f>
        <v>46</v>
      </c>
      <c r="D311" s="1">
        <v>31</v>
      </c>
      <c r="E311" s="1" t="str">
        <f>VLOOKUP(B311,'NOVACART DATA'!$B$2:$M$1001,5,FALSE)</f>
        <v>Email</v>
      </c>
      <c r="F311" s="1">
        <v>1</v>
      </c>
      <c r="G311" s="1">
        <v>57.51</v>
      </c>
      <c r="H311" s="1">
        <v>5.5</v>
      </c>
      <c r="I311" s="17">
        <f t="shared" si="4"/>
        <v>54.346949999999993</v>
      </c>
      <c r="J311" s="1">
        <f>VLOOKUP(B311,'NOVACART DATA'!$B$2:$N$1001,13,FALSE)</f>
        <v>1</v>
      </c>
    </row>
    <row r="312" spans="1:10">
      <c r="A312" s="2">
        <f>VLOOKUP(B312,CHOOSE({1,2},'NOVACART DATA'!$B$2:$B$1001,'NOVACART DATA'!$A$2:$A$1001),2,FALSE)</f>
        <v>46016</v>
      </c>
      <c r="B312" s="1">
        <v>1324</v>
      </c>
      <c r="C312" s="1">
        <f>VLOOKUP(B312,'NOVACART DATA'!$B$2:$C$1000,2,FALSE)</f>
        <v>46</v>
      </c>
      <c r="D312" s="1">
        <v>30</v>
      </c>
      <c r="E312" s="1" t="str">
        <f>VLOOKUP(B312,'NOVACART DATA'!$B$2:$M$1001,5,FALSE)</f>
        <v>Email</v>
      </c>
      <c r="F312" s="1">
        <v>1</v>
      </c>
      <c r="G312" s="1">
        <v>41.49</v>
      </c>
      <c r="H312" s="1">
        <v>0</v>
      </c>
      <c r="I312" s="17">
        <f t="shared" si="4"/>
        <v>41.49</v>
      </c>
      <c r="J312" s="1">
        <f>VLOOKUP(B312,'NOVACART DATA'!$B$2:$N$1001,13,FALSE)</f>
        <v>1</v>
      </c>
    </row>
    <row r="313" spans="1:10">
      <c r="A313" s="2">
        <f>VLOOKUP(B313,CHOOSE({1,2},'NOVACART DATA'!$B$2:$B$1001,'NOVACART DATA'!$A$2:$A$1001),2,FALSE)</f>
        <v>46023</v>
      </c>
      <c r="B313" s="1">
        <v>1364</v>
      </c>
      <c r="C313" s="1">
        <f>VLOOKUP(B313,'NOVACART DATA'!$B$2:$C$1000,2,FALSE)</f>
        <v>46</v>
      </c>
      <c r="D313" s="1">
        <v>36</v>
      </c>
      <c r="E313" s="1" t="str">
        <f>VLOOKUP(B313,'NOVACART DATA'!$B$2:$M$1001,5,FALSE)</f>
        <v>Email</v>
      </c>
      <c r="F313" s="1">
        <v>1</v>
      </c>
      <c r="G313" s="1">
        <v>23.23</v>
      </c>
      <c r="H313" s="1">
        <v>10</v>
      </c>
      <c r="I313" s="17">
        <f t="shared" si="4"/>
        <v>20.907</v>
      </c>
      <c r="J313" s="1">
        <f>VLOOKUP(B313,'NOVACART DATA'!$B$2:$N$1001,13,FALSE)</f>
        <v>0</v>
      </c>
    </row>
    <row r="314" spans="1:10">
      <c r="A314" s="2">
        <f>VLOOKUP(B314,CHOOSE({1,2},'NOVACART DATA'!$B$2:$B$1001,'NOVACART DATA'!$A$2:$A$1001),2,FALSE)</f>
        <v>46023</v>
      </c>
      <c r="B314" s="1">
        <v>1364</v>
      </c>
      <c r="C314" s="1">
        <f>VLOOKUP(B314,'NOVACART DATA'!$B$2:$C$1000,2,FALSE)</f>
        <v>46</v>
      </c>
      <c r="D314" s="1">
        <v>4</v>
      </c>
      <c r="E314" s="1" t="str">
        <f>VLOOKUP(B314,'NOVACART DATA'!$B$2:$M$1001,5,FALSE)</f>
        <v>Email</v>
      </c>
      <c r="F314" s="1">
        <v>1</v>
      </c>
      <c r="G314" s="1">
        <v>34.83</v>
      </c>
      <c r="H314" s="1">
        <v>0</v>
      </c>
      <c r="I314" s="17">
        <f t="shared" si="4"/>
        <v>34.83</v>
      </c>
      <c r="J314" s="1">
        <f>VLOOKUP(B314,'NOVACART DATA'!$B$2:$N$1001,13,FALSE)</f>
        <v>0</v>
      </c>
    </row>
    <row r="315" spans="1:10">
      <c r="A315" s="2">
        <f>VLOOKUP(B315,CHOOSE({1,2},'NOVACART DATA'!$B$2:$B$1001,'NOVACART DATA'!$A$2:$A$1001),2,FALSE)</f>
        <v>46023</v>
      </c>
      <c r="B315" s="1">
        <v>1364</v>
      </c>
      <c r="C315" s="1">
        <f>VLOOKUP(B315,'NOVACART DATA'!$B$2:$C$1000,2,FALSE)</f>
        <v>46</v>
      </c>
      <c r="D315" s="1">
        <v>32</v>
      </c>
      <c r="E315" s="1" t="str">
        <f>VLOOKUP(B315,'NOVACART DATA'!$B$2:$M$1001,5,FALSE)</f>
        <v>Email</v>
      </c>
      <c r="F315" s="1">
        <v>1</v>
      </c>
      <c r="G315" s="1">
        <v>61.06</v>
      </c>
      <c r="H315" s="1">
        <v>0</v>
      </c>
      <c r="I315" s="17">
        <f t="shared" si="4"/>
        <v>61.06</v>
      </c>
      <c r="J315" s="1">
        <f>VLOOKUP(B315,'NOVACART DATA'!$B$2:$N$1001,13,FALSE)</f>
        <v>0</v>
      </c>
    </row>
    <row r="316" spans="1:10">
      <c r="A316" s="2">
        <f>VLOOKUP(B316,CHOOSE({1,2},'NOVACART DATA'!$B$2:$B$1001,'NOVACART DATA'!$A$2:$A$1001),2,FALSE)</f>
        <v>46049</v>
      </c>
      <c r="B316" s="1">
        <v>1433</v>
      </c>
      <c r="C316" s="1">
        <f>VLOOKUP(B316,'NOVACART DATA'!$B$2:$C$1000,2,FALSE)</f>
        <v>46</v>
      </c>
      <c r="D316" s="1">
        <v>37</v>
      </c>
      <c r="E316" s="1" t="str">
        <f>VLOOKUP(B316,'NOVACART DATA'!$B$2:$M$1001,5,FALSE)</f>
        <v>Email</v>
      </c>
      <c r="F316" s="1">
        <v>1</v>
      </c>
      <c r="G316" s="1">
        <v>52.67</v>
      </c>
      <c r="H316" s="1">
        <v>5</v>
      </c>
      <c r="I316" s="17">
        <f t="shared" si="4"/>
        <v>50.036499999999997</v>
      </c>
      <c r="J316" s="1">
        <f>VLOOKUP(B316,'NOVACART DATA'!$B$2:$N$1001,13,FALSE)</f>
        <v>0</v>
      </c>
    </row>
    <row r="317" spans="1:10">
      <c r="A317" s="2">
        <f>VLOOKUP(B317,CHOOSE({1,2},'NOVACART DATA'!$B$2:$B$1001,'NOVACART DATA'!$A$2:$A$1001),2,FALSE)</f>
        <v>46050</v>
      </c>
      <c r="B317" s="1">
        <v>1435</v>
      </c>
      <c r="C317" s="1">
        <f>VLOOKUP(B317,'NOVACART DATA'!$B$2:$C$1000,2,FALSE)</f>
        <v>46</v>
      </c>
      <c r="D317" s="1">
        <v>3</v>
      </c>
      <c r="E317" s="1" t="str">
        <f>VLOOKUP(B317,'NOVACART DATA'!$B$2:$M$1001,5,FALSE)</f>
        <v>Email</v>
      </c>
      <c r="F317" s="1">
        <v>3</v>
      </c>
      <c r="G317" s="1">
        <v>25.47</v>
      </c>
      <c r="H317" s="1">
        <v>20</v>
      </c>
      <c r="I317" s="17">
        <f t="shared" si="4"/>
        <v>61.128</v>
      </c>
      <c r="J317" s="1">
        <f>VLOOKUP(B317,'NOVACART DATA'!$B$2:$N$1001,13,FALSE)</f>
        <v>0</v>
      </c>
    </row>
    <row r="318" spans="1:10">
      <c r="A318" s="2">
        <f>VLOOKUP(B318,CHOOSE({1,2},'NOVACART DATA'!$B$2:$B$1001,'NOVACART DATA'!$A$2:$A$1001),2,FALSE)</f>
        <v>46050</v>
      </c>
      <c r="B318" s="1">
        <v>1435</v>
      </c>
      <c r="C318" s="1">
        <f>VLOOKUP(B318,'NOVACART DATA'!$B$2:$C$1000,2,FALSE)</f>
        <v>46</v>
      </c>
      <c r="D318" s="1">
        <v>38</v>
      </c>
      <c r="E318" s="1" t="str">
        <f>VLOOKUP(B318,'NOVACART DATA'!$B$2:$M$1001,5,FALSE)</f>
        <v>Email</v>
      </c>
      <c r="F318" s="1">
        <v>1</v>
      </c>
      <c r="G318" s="1">
        <v>25.14</v>
      </c>
      <c r="H318" s="1">
        <v>25</v>
      </c>
      <c r="I318" s="17">
        <f t="shared" si="4"/>
        <v>18.855</v>
      </c>
      <c r="J318" s="1">
        <f>VLOOKUP(B318,'NOVACART DATA'!$B$2:$N$1001,13,FALSE)</f>
        <v>0</v>
      </c>
    </row>
    <row r="319" spans="1:10">
      <c r="A319" s="2">
        <f>VLOOKUP(B319,CHOOSE({1,2},'NOVACART DATA'!$B$2:$B$1001,'NOVACART DATA'!$A$2:$A$1001),2,FALSE)</f>
        <v>46075</v>
      </c>
      <c r="B319" s="1">
        <v>1519</v>
      </c>
      <c r="C319" s="1">
        <f>VLOOKUP(B319,'NOVACART DATA'!$B$2:$C$1000,2,FALSE)</f>
        <v>46</v>
      </c>
      <c r="D319" s="1">
        <v>24</v>
      </c>
      <c r="E319" s="1" t="str">
        <f>VLOOKUP(B319,'NOVACART DATA'!$B$2:$M$1001,5,FALSE)</f>
        <v>Email</v>
      </c>
      <c r="F319" s="1">
        <v>1</v>
      </c>
      <c r="G319" s="1">
        <v>43.42</v>
      </c>
      <c r="H319" s="1">
        <v>5</v>
      </c>
      <c r="I319" s="17">
        <f t="shared" si="4"/>
        <v>41.249000000000002</v>
      </c>
      <c r="J319" s="1">
        <f>VLOOKUP(B319,'NOVACART DATA'!$B$2:$N$1001,13,FALSE)</f>
        <v>0</v>
      </c>
    </row>
    <row r="320" spans="1:10">
      <c r="A320" s="2">
        <f>VLOOKUP(B320,CHOOSE({1,2},'NOVACART DATA'!$B$2:$B$1001,'NOVACART DATA'!$A$2:$A$1001),2,FALSE)</f>
        <v>46080</v>
      </c>
      <c r="B320" s="1">
        <v>1536</v>
      </c>
      <c r="C320" s="1">
        <f>VLOOKUP(B320,'NOVACART DATA'!$B$2:$C$1000,2,FALSE)</f>
        <v>46</v>
      </c>
      <c r="D320" s="1">
        <v>23</v>
      </c>
      <c r="E320" s="1" t="str">
        <f>VLOOKUP(B320,'NOVACART DATA'!$B$2:$M$1001,5,FALSE)</f>
        <v>Email</v>
      </c>
      <c r="F320" s="1">
        <v>1</v>
      </c>
      <c r="G320" s="1">
        <v>38.14</v>
      </c>
      <c r="H320" s="1">
        <v>10</v>
      </c>
      <c r="I320" s="17">
        <f t="shared" si="4"/>
        <v>34.326000000000001</v>
      </c>
      <c r="J320" s="1">
        <f>VLOOKUP(B320,'NOVACART DATA'!$B$2:$N$1001,13,FALSE)</f>
        <v>0</v>
      </c>
    </row>
    <row r="321" spans="1:10">
      <c r="A321" s="2">
        <f>VLOOKUP(B321,CHOOSE({1,2},'NOVACART DATA'!$B$2:$B$1001,'NOVACART DATA'!$A$2:$A$1001),2,FALSE)</f>
        <v>45985</v>
      </c>
      <c r="B321" s="1">
        <v>1044</v>
      </c>
      <c r="C321" s="1">
        <f>VLOOKUP(B321,'NOVACART DATA'!$B$2:$C$1000,2,FALSE)</f>
        <v>5</v>
      </c>
      <c r="D321" s="1">
        <v>7</v>
      </c>
      <c r="E321" s="1" t="str">
        <f>VLOOKUP(B321,'NOVACART DATA'!$B$2:$M$1001,5,FALSE)</f>
        <v>Email</v>
      </c>
      <c r="F321" s="1">
        <v>1</v>
      </c>
      <c r="G321" s="1">
        <v>79.39</v>
      </c>
      <c r="H321" s="1">
        <v>10</v>
      </c>
      <c r="I321" s="17">
        <f t="shared" si="4"/>
        <v>71.451000000000008</v>
      </c>
      <c r="J321" s="1">
        <f>VLOOKUP(B321,'NOVACART DATA'!$B$2:$N$1001,13,FALSE)</f>
        <v>0</v>
      </c>
    </row>
    <row r="322" spans="1:10">
      <c r="A322" s="2">
        <f>VLOOKUP(B322,CHOOSE({1,2},'NOVACART DATA'!$B$2:$B$1001,'NOVACART DATA'!$A$2:$A$1001),2,FALSE)</f>
        <v>46080</v>
      </c>
      <c r="B322" s="1">
        <v>1536</v>
      </c>
      <c r="C322" s="1">
        <f>VLOOKUP(B322,'NOVACART DATA'!$B$2:$C$1000,2,FALSE)</f>
        <v>46</v>
      </c>
      <c r="D322" s="1">
        <v>4</v>
      </c>
      <c r="E322" s="1" t="str">
        <f>VLOOKUP(B322,'NOVACART DATA'!$B$2:$M$1001,5,FALSE)</f>
        <v>Email</v>
      </c>
      <c r="F322" s="1">
        <v>1</v>
      </c>
      <c r="G322" s="1">
        <v>34.83</v>
      </c>
      <c r="H322" s="1">
        <v>5</v>
      </c>
      <c r="I322" s="17">
        <f t="shared" ref="I322:I385" si="5">F322*G322*(1-H322/100)</f>
        <v>33.088499999999996</v>
      </c>
      <c r="J322" s="1">
        <f>VLOOKUP(B322,'NOVACART DATA'!$B$2:$N$1001,13,FALSE)</f>
        <v>0</v>
      </c>
    </row>
    <row r="323" spans="1:10">
      <c r="A323" s="2">
        <f>VLOOKUP(B323,CHOOSE({1,2},'NOVACART DATA'!$B$2:$B$1001,'NOVACART DATA'!$A$2:$A$1001),2,FALSE)</f>
        <v>45947</v>
      </c>
      <c r="B323" s="1">
        <v>1017</v>
      </c>
      <c r="C323" s="1">
        <f>VLOOKUP(B323,'NOVACART DATA'!$B$2:$C$1000,2,FALSE)</f>
        <v>47</v>
      </c>
      <c r="D323" s="1">
        <v>30</v>
      </c>
      <c r="E323" s="1" t="str">
        <f>VLOOKUP(B323,'NOVACART DATA'!$B$2:$M$1001,5,FALSE)</f>
        <v>Organic</v>
      </c>
      <c r="F323" s="1">
        <v>1</v>
      </c>
      <c r="G323" s="1">
        <v>41.49</v>
      </c>
      <c r="H323" s="1">
        <v>0</v>
      </c>
      <c r="I323" s="17">
        <f t="shared" si="5"/>
        <v>41.49</v>
      </c>
      <c r="J323" s="1">
        <f>VLOOKUP(B323,'NOVACART DATA'!$B$2:$N$1001,13,FALSE)</f>
        <v>0</v>
      </c>
    </row>
    <row r="324" spans="1:10">
      <c r="A324" s="2">
        <f>VLOOKUP(B324,CHOOSE({1,2},'NOVACART DATA'!$B$2:$B$1001,'NOVACART DATA'!$A$2:$A$1001),2,FALSE)</f>
        <v>45668</v>
      </c>
      <c r="B324" s="1">
        <v>1064</v>
      </c>
      <c r="C324" s="1">
        <f>VLOOKUP(B324,'NOVACART DATA'!$B$2:$C$1000,2,FALSE)</f>
        <v>47</v>
      </c>
      <c r="D324" s="1">
        <v>11</v>
      </c>
      <c r="E324" s="1" t="str">
        <f>VLOOKUP(B324,'NOVACART DATA'!$B$2:$M$1001,5,FALSE)</f>
        <v>Organic</v>
      </c>
      <c r="F324" s="1">
        <v>1</v>
      </c>
      <c r="G324" s="1">
        <v>58.35</v>
      </c>
      <c r="H324" s="1">
        <v>15</v>
      </c>
      <c r="I324" s="17">
        <f t="shared" si="5"/>
        <v>49.597499999999997</v>
      </c>
      <c r="J324" s="1">
        <f>VLOOKUP(B324,'NOVACART DATA'!$B$2:$N$1001,13,FALSE)</f>
        <v>0</v>
      </c>
    </row>
    <row r="325" spans="1:10">
      <c r="A325" s="2">
        <f>VLOOKUP(B325,CHOOSE({1,2},'NOVACART DATA'!$B$2:$B$1001,'NOVACART DATA'!$A$2:$A$1001),2,FALSE)</f>
        <v>45668</v>
      </c>
      <c r="B325" s="1">
        <v>1064</v>
      </c>
      <c r="C325" s="1">
        <f>VLOOKUP(B325,'NOVACART DATA'!$B$2:$C$1000,2,FALSE)</f>
        <v>47</v>
      </c>
      <c r="D325" s="1">
        <v>14</v>
      </c>
      <c r="E325" s="1" t="str">
        <f>VLOOKUP(B325,'NOVACART DATA'!$B$2:$M$1001,5,FALSE)</f>
        <v>Organic</v>
      </c>
      <c r="F325" s="1">
        <v>1</v>
      </c>
      <c r="G325" s="1">
        <v>15.36</v>
      </c>
      <c r="H325" s="1">
        <v>10</v>
      </c>
      <c r="I325" s="17">
        <f t="shared" si="5"/>
        <v>13.824</v>
      </c>
      <c r="J325" s="1">
        <f>VLOOKUP(B325,'NOVACART DATA'!$B$2:$N$1001,13,FALSE)</f>
        <v>0</v>
      </c>
    </row>
    <row r="326" spans="1:10">
      <c r="A326" s="2">
        <f>VLOOKUP(B326,CHOOSE({1,2},'NOVACART DATA'!$B$2:$B$1001,'NOVACART DATA'!$A$2:$A$1001),2,FALSE)</f>
        <v>45911</v>
      </c>
      <c r="B326" s="1">
        <v>1097</v>
      </c>
      <c r="C326" s="1">
        <f>VLOOKUP(B326,'NOVACART DATA'!$B$2:$C$1000,2,FALSE)</f>
        <v>47</v>
      </c>
      <c r="D326" s="1">
        <v>18</v>
      </c>
      <c r="E326" s="1" t="str">
        <f>VLOOKUP(B326,'NOVACART DATA'!$B$2:$M$1001,5,FALSE)</f>
        <v>Organic</v>
      </c>
      <c r="F326" s="1">
        <v>1</v>
      </c>
      <c r="G326" s="1">
        <v>44.01</v>
      </c>
      <c r="H326" s="1">
        <v>0</v>
      </c>
      <c r="I326" s="17">
        <f t="shared" si="5"/>
        <v>44.01</v>
      </c>
      <c r="J326" s="1">
        <f>VLOOKUP(B326,'NOVACART DATA'!$B$2:$N$1001,13,FALSE)</f>
        <v>0</v>
      </c>
    </row>
    <row r="327" spans="1:10">
      <c r="A327" s="2">
        <f>VLOOKUP(B327,CHOOSE({1,2},'NOVACART DATA'!$B$2:$B$1001,'NOVACART DATA'!$A$2:$A$1001),2,FALSE)</f>
        <v>45974</v>
      </c>
      <c r="B327" s="1">
        <v>1120</v>
      </c>
      <c r="C327" s="1">
        <f>VLOOKUP(B327,'NOVACART DATA'!$B$2:$C$1000,2,FALSE)</f>
        <v>47</v>
      </c>
      <c r="D327" s="1">
        <v>25</v>
      </c>
      <c r="E327" s="1" t="str">
        <f>VLOOKUP(B327,'NOVACART DATA'!$B$2:$M$1001,5,FALSE)</f>
        <v>Organic</v>
      </c>
      <c r="F327" s="1">
        <v>2</v>
      </c>
      <c r="G327" s="1">
        <v>17.78</v>
      </c>
      <c r="H327" s="1">
        <v>0</v>
      </c>
      <c r="I327" s="17">
        <f t="shared" si="5"/>
        <v>35.56</v>
      </c>
      <c r="J327" s="1">
        <f>VLOOKUP(B327,'NOVACART DATA'!$B$2:$N$1001,13,FALSE)</f>
        <v>0</v>
      </c>
    </row>
    <row r="328" spans="1:10">
      <c r="A328" s="2">
        <f>VLOOKUP(B328,CHOOSE({1,2},'NOVACART DATA'!$B$2:$B$1001,'NOVACART DATA'!$A$2:$A$1001),2,FALSE)</f>
        <v>45974</v>
      </c>
      <c r="B328" s="1">
        <v>1120</v>
      </c>
      <c r="C328" s="1">
        <f>VLOOKUP(B328,'NOVACART DATA'!$B$2:$C$1000,2,FALSE)</f>
        <v>47</v>
      </c>
      <c r="D328" s="1">
        <v>2</v>
      </c>
      <c r="E328" s="1" t="str">
        <f>VLOOKUP(B328,'NOVACART DATA'!$B$2:$M$1001,5,FALSE)</f>
        <v>Organic</v>
      </c>
      <c r="F328" s="1">
        <v>1</v>
      </c>
      <c r="G328" s="1">
        <v>64.02</v>
      </c>
      <c r="H328" s="1">
        <v>5</v>
      </c>
      <c r="I328" s="17">
        <f t="shared" si="5"/>
        <v>60.818999999999996</v>
      </c>
      <c r="J328" s="1">
        <f>VLOOKUP(B328,'NOVACART DATA'!$B$2:$N$1001,13,FALSE)</f>
        <v>0</v>
      </c>
    </row>
    <row r="329" spans="1:10">
      <c r="A329" s="2">
        <f>VLOOKUP(B329,CHOOSE({1,2},'NOVACART DATA'!$B$2:$B$1001,'NOVACART DATA'!$A$2:$A$1001),2,FALSE)</f>
        <v>45987</v>
      </c>
      <c r="B329" s="1">
        <v>1180</v>
      </c>
      <c r="C329" s="1">
        <f>VLOOKUP(B329,'NOVACART DATA'!$B$2:$C$1000,2,FALSE)</f>
        <v>47</v>
      </c>
      <c r="D329" s="1">
        <v>34</v>
      </c>
      <c r="E329" s="1" t="str">
        <f>VLOOKUP(B329,'NOVACART DATA'!$B$2:$M$1001,5,FALSE)</f>
        <v>Organic</v>
      </c>
      <c r="F329" s="1">
        <v>1</v>
      </c>
      <c r="G329" s="1">
        <v>58.26</v>
      </c>
      <c r="H329" s="1">
        <v>10</v>
      </c>
      <c r="I329" s="17">
        <f t="shared" si="5"/>
        <v>52.433999999999997</v>
      </c>
      <c r="J329" s="1">
        <f>VLOOKUP(B329,'NOVACART DATA'!$B$2:$N$1001,13,FALSE)</f>
        <v>0</v>
      </c>
    </row>
    <row r="330" spans="1:10">
      <c r="A330" s="2">
        <f>VLOOKUP(B330,CHOOSE({1,2},'NOVACART DATA'!$B$2:$B$1001,'NOVACART DATA'!$A$2:$A$1001),2,FALSE)</f>
        <v>45991</v>
      </c>
      <c r="B330" s="1">
        <v>1201</v>
      </c>
      <c r="C330" s="1">
        <f>VLOOKUP(B330,'NOVACART DATA'!$B$2:$C$1000,2,FALSE)</f>
        <v>47</v>
      </c>
      <c r="D330" s="1">
        <v>40</v>
      </c>
      <c r="E330" s="1" t="str">
        <f>VLOOKUP(B330,'NOVACART DATA'!$B$2:$M$1001,5,FALSE)</f>
        <v>Organic</v>
      </c>
      <c r="F330" s="1">
        <v>1</v>
      </c>
      <c r="G330" s="1">
        <v>38.869999999999997</v>
      </c>
      <c r="H330" s="1">
        <v>0</v>
      </c>
      <c r="I330" s="17">
        <f t="shared" si="5"/>
        <v>38.869999999999997</v>
      </c>
      <c r="J330" s="1">
        <f>VLOOKUP(B330,'NOVACART DATA'!$B$2:$N$1001,13,FALSE)</f>
        <v>1</v>
      </c>
    </row>
    <row r="331" spans="1:10">
      <c r="A331" s="2">
        <f>VLOOKUP(B331,CHOOSE({1,2},'NOVACART DATA'!$B$2:$B$1001,'NOVACART DATA'!$A$2:$A$1001),2,FALSE)</f>
        <v>45669</v>
      </c>
      <c r="B331" s="1">
        <v>1207</v>
      </c>
      <c r="C331" s="1">
        <f>VLOOKUP(B331,'NOVACART DATA'!$B$2:$C$1000,2,FALSE)</f>
        <v>47</v>
      </c>
      <c r="D331" s="1">
        <v>18</v>
      </c>
      <c r="E331" s="1" t="str">
        <f>VLOOKUP(B331,'NOVACART DATA'!$B$2:$M$1001,5,FALSE)</f>
        <v>Organic</v>
      </c>
      <c r="F331" s="1">
        <v>1</v>
      </c>
      <c r="G331" s="1">
        <v>44.01</v>
      </c>
      <c r="H331" s="1">
        <v>0</v>
      </c>
      <c r="I331" s="17">
        <f t="shared" si="5"/>
        <v>44.01</v>
      </c>
      <c r="J331" s="1">
        <f>VLOOKUP(B331,'NOVACART DATA'!$B$2:$N$1001,13,FALSE)</f>
        <v>0</v>
      </c>
    </row>
    <row r="332" spans="1:10">
      <c r="A332" s="2">
        <f>VLOOKUP(B332,CHOOSE({1,2},'NOVACART DATA'!$B$2:$B$1001,'NOVACART DATA'!$A$2:$A$1001),2,FALSE)</f>
        <v>45942</v>
      </c>
      <c r="B332" s="1">
        <v>1248</v>
      </c>
      <c r="C332" s="1">
        <f>VLOOKUP(B332,'NOVACART DATA'!$B$2:$C$1000,2,FALSE)</f>
        <v>47</v>
      </c>
      <c r="D332" s="1">
        <v>30</v>
      </c>
      <c r="E332" s="1" t="str">
        <f>VLOOKUP(B332,'NOVACART DATA'!$B$2:$M$1001,5,FALSE)</f>
        <v>Organic</v>
      </c>
      <c r="F332" s="1">
        <v>1</v>
      </c>
      <c r="G332" s="1">
        <v>41.49</v>
      </c>
      <c r="H332" s="1">
        <v>10</v>
      </c>
      <c r="I332" s="17">
        <f t="shared" si="5"/>
        <v>37.341000000000001</v>
      </c>
      <c r="J332" s="1">
        <f>VLOOKUP(B332,'NOVACART DATA'!$B$2:$N$1001,13,FALSE)</f>
        <v>0</v>
      </c>
    </row>
    <row r="333" spans="1:10">
      <c r="A333" s="2">
        <f>VLOOKUP(B333,CHOOSE({1,2},'NOVACART DATA'!$B$2:$B$1001,'NOVACART DATA'!$A$2:$A$1001),2,FALSE)</f>
        <v>45942</v>
      </c>
      <c r="B333" s="1">
        <v>1248</v>
      </c>
      <c r="C333" s="1">
        <f>VLOOKUP(B333,'NOVACART DATA'!$B$2:$C$1000,2,FALSE)</f>
        <v>47</v>
      </c>
      <c r="D333" s="1">
        <v>35</v>
      </c>
      <c r="E333" s="1" t="str">
        <f>VLOOKUP(B333,'NOVACART DATA'!$B$2:$M$1001,5,FALSE)</f>
        <v>Organic</v>
      </c>
      <c r="F333" s="1">
        <v>2</v>
      </c>
      <c r="G333" s="1">
        <v>11.3</v>
      </c>
      <c r="H333" s="1">
        <v>0</v>
      </c>
      <c r="I333" s="17">
        <f t="shared" si="5"/>
        <v>22.6</v>
      </c>
      <c r="J333" s="1">
        <f>VLOOKUP(B333,'NOVACART DATA'!$B$2:$N$1001,13,FALSE)</f>
        <v>0</v>
      </c>
    </row>
    <row r="334" spans="1:10">
      <c r="A334" s="2">
        <f>VLOOKUP(B334,CHOOSE({1,2},'NOVACART DATA'!$B$2:$B$1001,'NOVACART DATA'!$A$2:$A$1001),2,FALSE)</f>
        <v>46008</v>
      </c>
      <c r="B334" s="1">
        <v>1288</v>
      </c>
      <c r="C334" s="1">
        <f>VLOOKUP(B334,'NOVACART DATA'!$B$2:$C$1000,2,FALSE)</f>
        <v>47</v>
      </c>
      <c r="D334" s="1" t="str">
        <f>_xlfn.XLOOKUP(E334,'Product Data'!$B$2:$B$100,'Product Data'!$A$2:$A$100,"Not Found")</f>
        <v>Not Found</v>
      </c>
      <c r="E334" s="1" t="str">
        <f>VLOOKUP(B334,'NOVACART DATA'!$B$2:$M$1001,5,FALSE)</f>
        <v>Organic</v>
      </c>
      <c r="F334" s="1">
        <v>1</v>
      </c>
      <c r="G334" s="1">
        <v>52.67</v>
      </c>
      <c r="H334" s="1">
        <v>5</v>
      </c>
      <c r="I334" s="17">
        <f t="shared" si="5"/>
        <v>50.036499999999997</v>
      </c>
      <c r="J334" s="1">
        <f>VLOOKUP(B334,'NOVACART DATA'!$B$2:$N$1001,13,FALSE)</f>
        <v>0</v>
      </c>
    </row>
    <row r="335" spans="1:10">
      <c r="A335" s="2">
        <f>VLOOKUP(B335,CHOOSE({1,2},'NOVACART DATA'!$B$2:$B$1001,'NOVACART DATA'!$A$2:$A$1001),2,FALSE)</f>
        <v>46008</v>
      </c>
      <c r="B335" s="1">
        <v>1288</v>
      </c>
      <c r="C335" s="1">
        <f>VLOOKUP(B335,'NOVACART DATA'!$B$2:$C$1000,2,FALSE)</f>
        <v>47</v>
      </c>
      <c r="D335" s="1">
        <v>2</v>
      </c>
      <c r="E335" s="1" t="str">
        <f>VLOOKUP(B335,'NOVACART DATA'!$B$2:$M$1001,5,FALSE)</f>
        <v>Organic</v>
      </c>
      <c r="F335" s="1">
        <v>2</v>
      </c>
      <c r="G335" s="1">
        <v>64.02</v>
      </c>
      <c r="H335" s="1">
        <v>0</v>
      </c>
      <c r="I335" s="17">
        <f t="shared" si="5"/>
        <v>128.04</v>
      </c>
      <c r="J335" s="1">
        <f>VLOOKUP(B335,'NOVACART DATA'!$B$2:$N$1001,13,FALSE)</f>
        <v>0</v>
      </c>
    </row>
    <row r="336" spans="1:10">
      <c r="A336" s="2">
        <f>VLOOKUP(B336,CHOOSE({1,2},'NOVACART DATA'!$B$2:$B$1001,'NOVACART DATA'!$A$2:$A$1001),2,FALSE)</f>
        <v>46011</v>
      </c>
      <c r="B336" s="1">
        <v>1303</v>
      </c>
      <c r="C336" s="1">
        <f>VLOOKUP(B336,'NOVACART DATA'!$B$2:$C$1000,2,FALSE)</f>
        <v>47</v>
      </c>
      <c r="D336" s="1">
        <v>31</v>
      </c>
      <c r="E336" s="1" t="str">
        <f>VLOOKUP(B336,'NOVACART DATA'!$B$2:$M$1001,5,FALSE)</f>
        <v>Organic</v>
      </c>
      <c r="F336" s="1">
        <v>1</v>
      </c>
      <c r="G336" s="1">
        <v>57.51</v>
      </c>
      <c r="H336" s="1">
        <v>10</v>
      </c>
      <c r="I336" s="17">
        <f t="shared" si="5"/>
        <v>51.759</v>
      </c>
      <c r="J336" s="1">
        <f>VLOOKUP(B336,'NOVACART DATA'!$B$2:$N$1001,13,FALSE)</f>
        <v>0</v>
      </c>
    </row>
    <row r="337" spans="1:10">
      <c r="A337" s="2">
        <f>VLOOKUP(B337,CHOOSE({1,2},'NOVACART DATA'!$B$2:$B$1001,'NOVACART DATA'!$A$2:$A$1001),2,FALSE)</f>
        <v>46011</v>
      </c>
      <c r="B337" s="1">
        <v>1303</v>
      </c>
      <c r="C337" s="1">
        <f>VLOOKUP(B337,'NOVACART DATA'!$B$2:$C$1000,2,FALSE)</f>
        <v>47</v>
      </c>
      <c r="D337" s="1">
        <v>8</v>
      </c>
      <c r="E337" s="1" t="str">
        <f>VLOOKUP(B337,'NOVACART DATA'!$B$2:$M$1001,5,FALSE)</f>
        <v>Organic</v>
      </c>
      <c r="F337" s="1">
        <v>1</v>
      </c>
      <c r="G337" s="1">
        <v>16.72</v>
      </c>
      <c r="H337" s="1">
        <v>0</v>
      </c>
      <c r="I337" s="17">
        <f t="shared" si="5"/>
        <v>16.72</v>
      </c>
      <c r="J337" s="1">
        <f>VLOOKUP(B337,'NOVACART DATA'!$B$2:$N$1001,13,FALSE)</f>
        <v>0</v>
      </c>
    </row>
    <row r="338" spans="1:10">
      <c r="A338" s="2">
        <f>VLOOKUP(B338,CHOOSE({1,2},'NOVACART DATA'!$B$2:$B$1001,'NOVACART DATA'!$A$2:$A$1001),2,FALSE)</f>
        <v>46015</v>
      </c>
      <c r="B338" s="1">
        <v>1319</v>
      </c>
      <c r="C338" s="1">
        <f>VLOOKUP(B338,'NOVACART DATA'!$B$2:$C$1000,2,FALSE)</f>
        <v>47</v>
      </c>
      <c r="D338" s="1">
        <v>39</v>
      </c>
      <c r="E338" s="1" t="str">
        <f>VLOOKUP(B338,'NOVACART DATA'!$B$2:$M$1001,5,FALSE)</f>
        <v>Organic</v>
      </c>
      <c r="F338" s="1">
        <v>2</v>
      </c>
      <c r="G338" s="1">
        <v>39.979999999999997</v>
      </c>
      <c r="H338" s="1">
        <v>10</v>
      </c>
      <c r="I338" s="17">
        <f t="shared" si="5"/>
        <v>71.963999999999999</v>
      </c>
      <c r="J338" s="1">
        <f>VLOOKUP(B338,'NOVACART DATA'!$B$2:$N$1001,13,FALSE)</f>
        <v>0</v>
      </c>
    </row>
    <row r="339" spans="1:10">
      <c r="A339" s="2">
        <f>VLOOKUP(B339,CHOOSE({1,2},'NOVACART DATA'!$B$2:$B$1001,'NOVACART DATA'!$A$2:$A$1001),2,FALSE)</f>
        <v>46017</v>
      </c>
      <c r="B339" s="1">
        <v>1330</v>
      </c>
      <c r="C339" s="1">
        <f>VLOOKUP(B339,'NOVACART DATA'!$B$2:$C$1000,2,FALSE)</f>
        <v>47</v>
      </c>
      <c r="D339" s="1">
        <v>21</v>
      </c>
      <c r="E339" s="1" t="str">
        <f>VLOOKUP(B339,'NOVACART DATA'!$B$2:$M$1001,5,FALSE)</f>
        <v>Organic</v>
      </c>
      <c r="F339" s="1">
        <v>1</v>
      </c>
      <c r="G339" s="1">
        <v>49.37</v>
      </c>
      <c r="H339" s="1">
        <v>5</v>
      </c>
      <c r="I339" s="17">
        <f t="shared" si="5"/>
        <v>46.901499999999999</v>
      </c>
      <c r="J339" s="1">
        <f>VLOOKUP(B339,'NOVACART DATA'!$B$2:$N$1001,13,FALSE)</f>
        <v>0</v>
      </c>
    </row>
    <row r="340" spans="1:10">
      <c r="A340" s="2">
        <f>VLOOKUP(B340,CHOOSE({1,2},'NOVACART DATA'!$B$2:$B$1001,'NOVACART DATA'!$A$2:$A$1001),2,FALSE)</f>
        <v>46019</v>
      </c>
      <c r="B340" s="1">
        <v>1342</v>
      </c>
      <c r="C340" s="1">
        <f>VLOOKUP(B340,'NOVACART DATA'!$B$2:$C$1000,2,FALSE)</f>
        <v>47</v>
      </c>
      <c r="D340" s="1">
        <v>28</v>
      </c>
      <c r="E340" s="1" t="str">
        <f>VLOOKUP(B340,'NOVACART DATA'!$B$2:$M$1001,5,FALSE)</f>
        <v>Organic</v>
      </c>
      <c r="F340" s="1">
        <v>1</v>
      </c>
      <c r="G340" s="1">
        <v>21.24</v>
      </c>
      <c r="H340" s="1">
        <v>20</v>
      </c>
      <c r="I340" s="17">
        <f t="shared" si="5"/>
        <v>16.992000000000001</v>
      </c>
      <c r="J340" s="1">
        <f>VLOOKUP(B340,'NOVACART DATA'!$B$2:$N$1001,13,FALSE)</f>
        <v>0</v>
      </c>
    </row>
    <row r="341" spans="1:10">
      <c r="A341" s="2">
        <f>VLOOKUP(B341,CHOOSE({1,2},'NOVACART DATA'!$B$2:$B$1001,'NOVACART DATA'!$A$2:$A$1001),2,FALSE)</f>
        <v>46033</v>
      </c>
      <c r="B341" s="1">
        <v>1391</v>
      </c>
      <c r="C341" s="1">
        <f>VLOOKUP(B341,'NOVACART DATA'!$B$2:$C$1000,2,FALSE)</f>
        <v>47</v>
      </c>
      <c r="D341" s="1">
        <v>2</v>
      </c>
      <c r="E341" s="1" t="str">
        <f>VLOOKUP(B341,'NOVACART DATA'!$B$2:$M$1001,5,FALSE)</f>
        <v>Organic</v>
      </c>
      <c r="F341" s="1">
        <v>2</v>
      </c>
      <c r="G341" s="1">
        <v>64.02</v>
      </c>
      <c r="H341" s="1">
        <v>0</v>
      </c>
      <c r="I341" s="17">
        <f t="shared" si="5"/>
        <v>128.04</v>
      </c>
      <c r="J341" s="1">
        <f>VLOOKUP(B341,'NOVACART DATA'!$B$2:$N$1001,13,FALSE)</f>
        <v>0</v>
      </c>
    </row>
    <row r="342" spans="1:10">
      <c r="A342" s="2">
        <f>VLOOKUP(B342,CHOOSE({1,2},'NOVACART DATA'!$B$2:$B$1001,'NOVACART DATA'!$A$2:$A$1001),2,FALSE)</f>
        <v>46033</v>
      </c>
      <c r="B342" s="1">
        <v>1391</v>
      </c>
      <c r="C342" s="1">
        <f>VLOOKUP(B342,'NOVACART DATA'!$B$2:$C$1000,2,FALSE)</f>
        <v>47</v>
      </c>
      <c r="D342" s="1">
        <v>28</v>
      </c>
      <c r="E342" s="1" t="str">
        <f>VLOOKUP(B342,'NOVACART DATA'!$B$2:$M$1001,5,FALSE)</f>
        <v>Organic</v>
      </c>
      <c r="F342" s="1">
        <v>1</v>
      </c>
      <c r="G342" s="1">
        <v>21.24</v>
      </c>
      <c r="H342" s="1">
        <v>0</v>
      </c>
      <c r="I342" s="17">
        <f t="shared" si="5"/>
        <v>21.24</v>
      </c>
      <c r="J342" s="1">
        <f>VLOOKUP(B342,'NOVACART DATA'!$B$2:$N$1001,13,FALSE)</f>
        <v>0</v>
      </c>
    </row>
    <row r="343" spans="1:10">
      <c r="A343" s="2">
        <f>VLOOKUP(B343,CHOOSE({1,2},'NOVACART DATA'!$B$2:$B$1001,'NOVACART DATA'!$A$2:$A$1001),2,FALSE)</f>
        <v>45985</v>
      </c>
      <c r="B343" s="1">
        <v>1044</v>
      </c>
      <c r="C343" s="1">
        <f>VLOOKUP(B343,'NOVACART DATA'!$B$2:$C$1000,2,FALSE)</f>
        <v>5</v>
      </c>
      <c r="D343" s="1">
        <v>25</v>
      </c>
      <c r="E343" s="1" t="str">
        <f>VLOOKUP(B343,'NOVACART DATA'!$B$2:$M$1001,5,FALSE)</f>
        <v>Email</v>
      </c>
      <c r="F343" s="1">
        <v>1</v>
      </c>
      <c r="G343" s="1">
        <v>17.78</v>
      </c>
      <c r="H343" s="1">
        <v>10</v>
      </c>
      <c r="I343" s="17">
        <f t="shared" si="5"/>
        <v>16.002000000000002</v>
      </c>
      <c r="J343" s="1">
        <f>VLOOKUP(B343,'NOVACART DATA'!$B$2:$N$1001,13,FALSE)</f>
        <v>0</v>
      </c>
    </row>
    <row r="344" spans="1:10">
      <c r="A344" s="2">
        <f>VLOOKUP(B344,CHOOSE({1,2},'NOVACART DATA'!$B$2:$B$1001,'NOVACART DATA'!$A$2:$A$1001),2,FALSE)</f>
        <v>46036</v>
      </c>
      <c r="B344" s="1">
        <v>1402</v>
      </c>
      <c r="C344" s="1">
        <f>VLOOKUP(B344,'NOVACART DATA'!$B$2:$C$1000,2,FALSE)</f>
        <v>47</v>
      </c>
      <c r="D344" s="1">
        <v>14</v>
      </c>
      <c r="E344" s="1" t="str">
        <f>VLOOKUP(B344,'NOVACART DATA'!$B$2:$M$1001,5,FALSE)</f>
        <v>Organic</v>
      </c>
      <c r="F344" s="1">
        <v>1</v>
      </c>
      <c r="G344" s="1">
        <v>15.36</v>
      </c>
      <c r="H344" s="1">
        <v>0</v>
      </c>
      <c r="I344" s="17">
        <f t="shared" si="5"/>
        <v>15.36</v>
      </c>
      <c r="J344" s="1">
        <f>VLOOKUP(B344,'NOVACART DATA'!$B$2:$N$1001,13,FALSE)</f>
        <v>0</v>
      </c>
    </row>
    <row r="345" spans="1:10">
      <c r="A345" s="2">
        <f>VLOOKUP(B345,CHOOSE({1,2},'NOVACART DATA'!$B$2:$B$1001,'NOVACART DATA'!$A$2:$A$1001),2,FALSE)</f>
        <v>46036</v>
      </c>
      <c r="B345" s="1">
        <v>1402</v>
      </c>
      <c r="C345" s="1">
        <f>VLOOKUP(B345,'NOVACART DATA'!$B$2:$C$1000,2,FALSE)</f>
        <v>47</v>
      </c>
      <c r="D345" s="1">
        <v>19</v>
      </c>
      <c r="E345" s="1" t="str">
        <f>VLOOKUP(B345,'NOVACART DATA'!$B$2:$M$1001,5,FALSE)</f>
        <v>Organic</v>
      </c>
      <c r="F345" s="1">
        <v>1</v>
      </c>
      <c r="G345" s="1">
        <v>50.14</v>
      </c>
      <c r="H345" s="1">
        <v>5</v>
      </c>
      <c r="I345" s="17">
        <f t="shared" si="5"/>
        <v>47.632999999999996</v>
      </c>
      <c r="J345" s="1">
        <f>VLOOKUP(B345,'NOVACART DATA'!$B$2:$N$1001,13,FALSE)</f>
        <v>0</v>
      </c>
    </row>
    <row r="346" spans="1:10">
      <c r="A346" s="2">
        <f>VLOOKUP(B346,CHOOSE({1,2},'NOVACART DATA'!$B$2:$B$1001,'NOVACART DATA'!$A$2:$A$1001),2,FALSE)</f>
        <v>46036</v>
      </c>
      <c r="B346" s="1">
        <v>1402</v>
      </c>
      <c r="C346" s="1">
        <f>VLOOKUP(B346,'NOVACART DATA'!$B$2:$C$1000,2,FALSE)</f>
        <v>47</v>
      </c>
      <c r="D346" s="1">
        <v>22</v>
      </c>
      <c r="E346" s="1" t="str">
        <f>VLOOKUP(B346,'NOVACART DATA'!$B$2:$M$1001,5,FALSE)</f>
        <v>Organic</v>
      </c>
      <c r="F346" s="1">
        <v>2</v>
      </c>
      <c r="G346" s="1">
        <v>29.98</v>
      </c>
      <c r="H346" s="1">
        <v>0</v>
      </c>
      <c r="I346" s="17">
        <f t="shared" si="5"/>
        <v>59.96</v>
      </c>
      <c r="J346" s="1">
        <f>VLOOKUP(B346,'NOVACART DATA'!$B$2:$N$1001,13,FALSE)</f>
        <v>0</v>
      </c>
    </row>
    <row r="347" spans="1:10">
      <c r="A347" s="2">
        <f>VLOOKUP(B347,CHOOSE({1,2},'NOVACART DATA'!$B$2:$B$1001,'NOVACART DATA'!$A$2:$A$1001),2,FALSE)</f>
        <v>46046</v>
      </c>
      <c r="B347" s="1">
        <v>1427</v>
      </c>
      <c r="C347" s="1">
        <f>VLOOKUP(B347,'NOVACART DATA'!$B$2:$C$1000,2,FALSE)</f>
        <v>47</v>
      </c>
      <c r="D347" s="1">
        <v>2</v>
      </c>
      <c r="E347" s="1" t="str">
        <f>VLOOKUP(B347,'NOVACART DATA'!$B$2:$M$1001,5,FALSE)</f>
        <v>Organic</v>
      </c>
      <c r="F347" s="1">
        <v>1</v>
      </c>
      <c r="G347" s="1">
        <v>64.02</v>
      </c>
      <c r="H347" s="1">
        <v>0</v>
      </c>
      <c r="I347" s="17">
        <f t="shared" si="5"/>
        <v>64.02</v>
      </c>
      <c r="J347" s="1">
        <f>VLOOKUP(B347,'NOVACART DATA'!$B$2:$N$1001,13,FALSE)</f>
        <v>0</v>
      </c>
    </row>
    <row r="348" spans="1:10">
      <c r="A348" s="2">
        <f>VLOOKUP(B348,CHOOSE({1,2},'NOVACART DATA'!$B$2:$B$1001,'NOVACART DATA'!$A$2:$A$1001),2,FALSE)</f>
        <v>46046</v>
      </c>
      <c r="B348" s="1">
        <v>1427</v>
      </c>
      <c r="C348" s="1">
        <f>VLOOKUP(B348,'NOVACART DATA'!$B$2:$C$1000,2,FALSE)</f>
        <v>47</v>
      </c>
      <c r="D348" s="1">
        <v>23</v>
      </c>
      <c r="E348" s="1" t="str">
        <f>VLOOKUP(B348,'NOVACART DATA'!$B$2:$M$1001,5,FALSE)</f>
        <v>Organic</v>
      </c>
      <c r="F348" s="1">
        <v>1</v>
      </c>
      <c r="G348" s="1">
        <v>38.14</v>
      </c>
      <c r="H348" s="1">
        <v>0</v>
      </c>
      <c r="I348" s="17">
        <f t="shared" si="5"/>
        <v>38.14</v>
      </c>
      <c r="J348" s="1">
        <f>VLOOKUP(B348,'NOVACART DATA'!$B$2:$N$1001,13,FALSE)</f>
        <v>0</v>
      </c>
    </row>
    <row r="349" spans="1:10">
      <c r="A349" s="2">
        <f>VLOOKUP(B349,CHOOSE({1,2},'NOVACART DATA'!$B$2:$B$1001,'NOVACART DATA'!$A$2:$A$1001),2,FALSE)</f>
        <v>46046</v>
      </c>
      <c r="B349" s="1">
        <v>1427</v>
      </c>
      <c r="C349" s="1">
        <f>VLOOKUP(B349,'NOVACART DATA'!$B$2:$C$1000,2,FALSE)</f>
        <v>47</v>
      </c>
      <c r="D349" s="1">
        <v>20</v>
      </c>
      <c r="E349" s="1" t="str">
        <f>VLOOKUP(B349,'NOVACART DATA'!$B$2:$M$1001,5,FALSE)</f>
        <v>Organic</v>
      </c>
      <c r="F349" s="1">
        <v>1</v>
      </c>
      <c r="G349" s="1">
        <v>32.76</v>
      </c>
      <c r="H349" s="1">
        <v>0</v>
      </c>
      <c r="I349" s="17">
        <f t="shared" si="5"/>
        <v>32.76</v>
      </c>
      <c r="J349" s="1">
        <f>VLOOKUP(B349,'NOVACART DATA'!$B$2:$N$1001,13,FALSE)</f>
        <v>0</v>
      </c>
    </row>
    <row r="350" spans="1:10">
      <c r="A350" s="2">
        <f>VLOOKUP(B350,CHOOSE({1,2},'NOVACART DATA'!$B$2:$B$1001,'NOVACART DATA'!$A$2:$A$1001),2,FALSE)</f>
        <v>46046</v>
      </c>
      <c r="B350" s="1">
        <v>1427</v>
      </c>
      <c r="C350" s="1">
        <f>VLOOKUP(B350,'NOVACART DATA'!$B$2:$C$1000,2,FALSE)</f>
        <v>47</v>
      </c>
      <c r="D350" s="1">
        <v>38</v>
      </c>
      <c r="E350" s="1" t="str">
        <f>VLOOKUP(B350,'NOVACART DATA'!$B$2:$M$1001,5,FALSE)</f>
        <v>Organic</v>
      </c>
      <c r="F350" s="1">
        <v>1</v>
      </c>
      <c r="G350" s="1">
        <v>25.14</v>
      </c>
      <c r="H350" s="1">
        <v>10</v>
      </c>
      <c r="I350" s="17">
        <f t="shared" si="5"/>
        <v>22.626000000000001</v>
      </c>
      <c r="J350" s="1">
        <f>VLOOKUP(B350,'NOVACART DATA'!$B$2:$N$1001,13,FALSE)</f>
        <v>0</v>
      </c>
    </row>
    <row r="351" spans="1:10">
      <c r="A351" s="2">
        <f>VLOOKUP(B351,CHOOSE({1,2},'NOVACART DATA'!$B$2:$B$1001,'NOVACART DATA'!$A$2:$A$1001),2,FALSE)</f>
        <v>46114</v>
      </c>
      <c r="B351" s="1">
        <v>1450</v>
      </c>
      <c r="C351" s="1">
        <f>VLOOKUP(B351,'NOVACART DATA'!$B$2:$C$1000,2,FALSE)</f>
        <v>47</v>
      </c>
      <c r="D351" s="1">
        <v>39</v>
      </c>
      <c r="E351" s="1" t="str">
        <f>VLOOKUP(B351,'NOVACART DATA'!$B$2:$M$1001,5,FALSE)</f>
        <v>Organic</v>
      </c>
      <c r="F351" s="1">
        <v>1</v>
      </c>
      <c r="G351" s="1">
        <v>39.979999999999997</v>
      </c>
      <c r="H351" s="1">
        <v>0</v>
      </c>
      <c r="I351" s="17">
        <f t="shared" si="5"/>
        <v>39.979999999999997</v>
      </c>
      <c r="J351" s="1">
        <f>VLOOKUP(B351,'NOVACART DATA'!$B$2:$N$1001,13,FALSE)</f>
        <v>0</v>
      </c>
    </row>
    <row r="352" spans="1:10">
      <c r="A352" s="2">
        <f>VLOOKUP(B352,CHOOSE({1,2},'NOVACART DATA'!$B$2:$B$1001,'NOVACART DATA'!$A$2:$A$1001),2,FALSE)</f>
        <v>46144</v>
      </c>
      <c r="B352" s="1">
        <v>1456</v>
      </c>
      <c r="C352" s="1">
        <f>VLOOKUP(B352,'NOVACART DATA'!$B$2:$C$1000,2,FALSE)</f>
        <v>47</v>
      </c>
      <c r="D352" s="1">
        <v>24</v>
      </c>
      <c r="E352" s="1" t="str">
        <f>VLOOKUP(B352,'NOVACART DATA'!$B$2:$M$1001,5,FALSE)</f>
        <v>Organic</v>
      </c>
      <c r="F352" s="1">
        <v>1</v>
      </c>
      <c r="G352" s="1">
        <v>43.42</v>
      </c>
      <c r="H352" s="1">
        <v>0</v>
      </c>
      <c r="I352" s="17">
        <f t="shared" si="5"/>
        <v>43.42</v>
      </c>
      <c r="J352" s="1">
        <f>VLOOKUP(B352,'NOVACART DATA'!$B$2:$N$1001,13,FALSE)</f>
        <v>0</v>
      </c>
    </row>
    <row r="353" spans="1:10">
      <c r="A353" s="2">
        <f>VLOOKUP(B353,CHOOSE({1,2},'NOVACART DATA'!$B$2:$B$1001,'NOVACART DATA'!$A$2:$A$1001),2,FALSE)</f>
        <v>46144</v>
      </c>
      <c r="B353" s="1">
        <v>1456</v>
      </c>
      <c r="C353" s="1">
        <f>VLOOKUP(B353,'NOVACART DATA'!$B$2:$C$1000,2,FALSE)</f>
        <v>47</v>
      </c>
      <c r="D353" s="1">
        <v>26</v>
      </c>
      <c r="E353" s="1" t="str">
        <f>VLOOKUP(B353,'NOVACART DATA'!$B$2:$M$1001,5,FALSE)</f>
        <v>Organic</v>
      </c>
      <c r="F353" s="1">
        <v>1</v>
      </c>
      <c r="G353" s="1">
        <v>31.76</v>
      </c>
      <c r="H353" s="1">
        <v>10</v>
      </c>
      <c r="I353" s="17">
        <f t="shared" si="5"/>
        <v>28.584000000000003</v>
      </c>
      <c r="J353" s="1">
        <f>VLOOKUP(B353,'NOVACART DATA'!$B$2:$N$1001,13,FALSE)</f>
        <v>0</v>
      </c>
    </row>
    <row r="354" spans="1:10">
      <c r="A354" s="2">
        <f>VLOOKUP(B354,CHOOSE({1,2},'NOVACART DATA'!$B$2:$B$1001,'NOVACART DATA'!$A$2:$A$1001),2,FALSE)</f>
        <v>46144</v>
      </c>
      <c r="B354" s="1">
        <v>1456</v>
      </c>
      <c r="C354" s="1">
        <f>VLOOKUP(B354,'NOVACART DATA'!$B$2:$C$1000,2,FALSE)</f>
        <v>47</v>
      </c>
      <c r="D354" s="1">
        <v>15</v>
      </c>
      <c r="E354" s="1" t="str">
        <f>VLOOKUP(B354,'NOVACART DATA'!$B$2:$M$1001,5,FALSE)</f>
        <v>Organic</v>
      </c>
      <c r="F354" s="1">
        <v>1</v>
      </c>
      <c r="G354" s="1">
        <v>47.71</v>
      </c>
      <c r="H354" s="1">
        <v>0</v>
      </c>
      <c r="I354" s="17">
        <f t="shared" si="5"/>
        <v>47.71</v>
      </c>
      <c r="J354" s="1">
        <f>VLOOKUP(B354,'NOVACART DATA'!$B$2:$N$1001,13,FALSE)</f>
        <v>0</v>
      </c>
    </row>
    <row r="355" spans="1:10">
      <c r="A355" s="2">
        <f>VLOOKUP(B355,CHOOSE({1,2},'NOVACART DATA'!$B$2:$B$1001,'NOVACART DATA'!$A$2:$A$1001),2,FALSE)</f>
        <v>46144</v>
      </c>
      <c r="B355" s="1">
        <v>1456</v>
      </c>
      <c r="C355" s="1">
        <f>VLOOKUP(B355,'NOVACART DATA'!$B$2:$C$1000,2,FALSE)</f>
        <v>47</v>
      </c>
      <c r="D355" s="1">
        <v>27</v>
      </c>
      <c r="E355" s="1" t="str">
        <f>VLOOKUP(B355,'NOVACART DATA'!$B$2:$M$1001,5,FALSE)</f>
        <v>Organic</v>
      </c>
      <c r="F355" s="1">
        <v>2</v>
      </c>
      <c r="G355" s="1">
        <v>27.3</v>
      </c>
      <c r="H355" s="1">
        <v>10</v>
      </c>
      <c r="I355" s="17">
        <f t="shared" si="5"/>
        <v>49.14</v>
      </c>
      <c r="J355" s="1">
        <f>VLOOKUP(B355,'NOVACART DATA'!$B$2:$N$1001,13,FALSE)</f>
        <v>0</v>
      </c>
    </row>
    <row r="356" spans="1:10">
      <c r="A356" s="2">
        <f>VLOOKUP(B356,CHOOSE({1,2},'NOVACART DATA'!$B$2:$B$1001,'NOVACART DATA'!$A$2:$A$1001),2,FALSE)</f>
        <v>46175</v>
      </c>
      <c r="B356" s="1">
        <v>1459</v>
      </c>
      <c r="C356" s="1">
        <f>VLOOKUP(B356,'NOVACART DATA'!$B$2:$C$1000,2,FALSE)</f>
        <v>47</v>
      </c>
      <c r="D356" s="1">
        <v>16</v>
      </c>
      <c r="E356" s="1" t="str">
        <f>VLOOKUP(B356,'NOVACART DATA'!$B$2:$M$1001,5,FALSE)</f>
        <v>Organic</v>
      </c>
      <c r="F356" s="1">
        <v>1</v>
      </c>
      <c r="G356" s="1">
        <v>11.81</v>
      </c>
      <c r="H356" s="1">
        <v>0</v>
      </c>
      <c r="I356" s="17">
        <f t="shared" si="5"/>
        <v>11.81</v>
      </c>
      <c r="J356" s="1">
        <f>VLOOKUP(B356,'NOVACART DATA'!$B$2:$N$1001,13,FALSE)</f>
        <v>0</v>
      </c>
    </row>
    <row r="357" spans="1:10">
      <c r="A357" s="2">
        <f>VLOOKUP(B357,CHOOSE({1,2},'NOVACART DATA'!$B$2:$B$1001,'NOVACART DATA'!$A$2:$A$1001),2,FALSE)</f>
        <v>46175</v>
      </c>
      <c r="B357" s="1">
        <v>1459</v>
      </c>
      <c r="C357" s="1">
        <f>VLOOKUP(B357,'NOVACART DATA'!$B$2:$C$1000,2,FALSE)</f>
        <v>47</v>
      </c>
      <c r="D357" s="1">
        <v>14</v>
      </c>
      <c r="E357" s="1" t="str">
        <f>VLOOKUP(B357,'NOVACART DATA'!$B$2:$M$1001,5,FALSE)</f>
        <v>Organic</v>
      </c>
      <c r="F357" s="1">
        <v>1</v>
      </c>
      <c r="G357" s="1">
        <v>15.36</v>
      </c>
      <c r="H357" s="1">
        <v>0</v>
      </c>
      <c r="I357" s="17">
        <f t="shared" si="5"/>
        <v>15.36</v>
      </c>
      <c r="J357" s="1">
        <f>VLOOKUP(B357,'NOVACART DATA'!$B$2:$N$1001,13,FALSE)</f>
        <v>0</v>
      </c>
    </row>
    <row r="358" spans="1:10">
      <c r="A358" s="2">
        <f>VLOOKUP(B358,CHOOSE({1,2},'NOVACART DATA'!$B$2:$B$1001,'NOVACART DATA'!$A$2:$A$1001),2,FALSE)</f>
        <v>46175</v>
      </c>
      <c r="B358" s="1">
        <v>1459</v>
      </c>
      <c r="C358" s="1">
        <f>VLOOKUP(B358,'NOVACART DATA'!$B$2:$C$1000,2,FALSE)</f>
        <v>47</v>
      </c>
      <c r="D358" s="1">
        <v>39</v>
      </c>
      <c r="E358" s="1" t="str">
        <f>VLOOKUP(B358,'NOVACART DATA'!$B$2:$M$1001,5,FALSE)</f>
        <v>Organic</v>
      </c>
      <c r="F358" s="1">
        <v>1</v>
      </c>
      <c r="G358" s="1">
        <v>39.979999999999997</v>
      </c>
      <c r="H358" s="1">
        <v>0</v>
      </c>
      <c r="I358" s="17">
        <f t="shared" si="5"/>
        <v>39.979999999999997</v>
      </c>
      <c r="J358" s="1">
        <f>VLOOKUP(B358,'NOVACART DATA'!$B$2:$N$1001,13,FALSE)</f>
        <v>0</v>
      </c>
    </row>
    <row r="359" spans="1:10">
      <c r="A359" s="2">
        <f>VLOOKUP(B359,CHOOSE({1,2},'NOVACART DATA'!$B$2:$B$1001,'NOVACART DATA'!$A$2:$A$1001),2,FALSE)</f>
        <v>46297</v>
      </c>
      <c r="B359" s="1">
        <v>1469</v>
      </c>
      <c r="C359" s="1">
        <f>VLOOKUP(B359,'NOVACART DATA'!$B$2:$C$1000,2,FALSE)</f>
        <v>47</v>
      </c>
      <c r="D359" s="1">
        <v>12</v>
      </c>
      <c r="E359" s="1" t="str">
        <f>VLOOKUP(B359,'NOVACART DATA'!$B$2:$M$1001,5,FALSE)</f>
        <v>Organic</v>
      </c>
      <c r="F359" s="1">
        <v>1</v>
      </c>
      <c r="G359" s="1">
        <v>8.4499999999999993</v>
      </c>
      <c r="H359" s="1">
        <v>0</v>
      </c>
      <c r="I359" s="17">
        <f t="shared" si="5"/>
        <v>8.4499999999999993</v>
      </c>
      <c r="J359" s="1">
        <f>VLOOKUP(B359,'NOVACART DATA'!$B$2:$N$1001,13,FALSE)</f>
        <v>0</v>
      </c>
    </row>
    <row r="360" spans="1:10">
      <c r="A360" s="2">
        <f>VLOOKUP(B360,CHOOSE({1,2},'NOVACART DATA'!$B$2:$B$1001,'NOVACART DATA'!$A$2:$A$1001),2,FALSE)</f>
        <v>46297</v>
      </c>
      <c r="B360" s="1">
        <v>1469</v>
      </c>
      <c r="C360" s="1">
        <f>VLOOKUP(B360,'NOVACART DATA'!$B$2:$C$1000,2,FALSE)</f>
        <v>47</v>
      </c>
      <c r="D360" s="1">
        <v>22</v>
      </c>
      <c r="E360" s="1" t="str">
        <f>VLOOKUP(B360,'NOVACART DATA'!$B$2:$M$1001,5,FALSE)</f>
        <v>Organic</v>
      </c>
      <c r="F360" s="1">
        <v>2</v>
      </c>
      <c r="G360" s="1">
        <v>29.98</v>
      </c>
      <c r="H360" s="1">
        <v>5</v>
      </c>
      <c r="I360" s="17">
        <f t="shared" si="5"/>
        <v>56.961999999999996</v>
      </c>
      <c r="J360" s="1">
        <f>VLOOKUP(B360,'NOVACART DATA'!$B$2:$N$1001,13,FALSE)</f>
        <v>0</v>
      </c>
    </row>
    <row r="361" spans="1:10">
      <c r="A361" s="2">
        <f>VLOOKUP(B361,CHOOSE({1,2},'NOVACART DATA'!$B$2:$B$1001,'NOVACART DATA'!$A$2:$A$1001),2,FALSE)</f>
        <v>46297</v>
      </c>
      <c r="B361" s="1">
        <v>1469</v>
      </c>
      <c r="C361" s="1">
        <f>VLOOKUP(B361,'NOVACART DATA'!$B$2:$C$1000,2,FALSE)</f>
        <v>47</v>
      </c>
      <c r="D361" s="1">
        <v>30</v>
      </c>
      <c r="E361" s="1" t="str">
        <f>VLOOKUP(B361,'NOVACART DATA'!$B$2:$M$1001,5,FALSE)</f>
        <v>Organic</v>
      </c>
      <c r="F361" s="1">
        <v>3</v>
      </c>
      <c r="G361" s="1">
        <v>41.49</v>
      </c>
      <c r="H361" s="1">
        <v>0</v>
      </c>
      <c r="I361" s="17">
        <f t="shared" si="5"/>
        <v>124.47</v>
      </c>
      <c r="J361" s="1">
        <f>VLOOKUP(B361,'NOVACART DATA'!$B$2:$N$1001,13,FALSE)</f>
        <v>0</v>
      </c>
    </row>
    <row r="362" spans="1:10">
      <c r="A362" s="2">
        <f>VLOOKUP(B362,CHOOSE({1,2},'NOVACART DATA'!$B$2:$B$1001,'NOVACART DATA'!$A$2:$A$1001),2,FALSE)</f>
        <v>46066</v>
      </c>
      <c r="B362" s="1">
        <v>1482</v>
      </c>
      <c r="C362" s="1">
        <f>VLOOKUP(B362,'NOVACART DATA'!$B$2:$C$1000,2,FALSE)</f>
        <v>47</v>
      </c>
      <c r="D362" s="1">
        <v>8</v>
      </c>
      <c r="E362" s="1" t="str">
        <f>VLOOKUP(B362,'NOVACART DATA'!$B$2:$M$1001,5,FALSE)</f>
        <v>Organic</v>
      </c>
      <c r="F362" s="1">
        <v>3</v>
      </c>
      <c r="G362" s="1">
        <v>16.72</v>
      </c>
      <c r="H362" s="1">
        <v>0</v>
      </c>
      <c r="I362" s="17">
        <f t="shared" si="5"/>
        <v>50.16</v>
      </c>
      <c r="J362" s="1">
        <f>VLOOKUP(B362,'NOVACART DATA'!$B$2:$N$1001,13,FALSE)</f>
        <v>0</v>
      </c>
    </row>
    <row r="363" spans="1:10">
      <c r="A363" s="2">
        <f>VLOOKUP(B363,CHOOSE({1,2},'NOVACART DATA'!$B$2:$B$1001,'NOVACART DATA'!$A$2:$A$1001),2,FALSE)</f>
        <v>46075</v>
      </c>
      <c r="B363" s="1">
        <v>1520</v>
      </c>
      <c r="C363" s="1">
        <f>VLOOKUP(B363,'NOVACART DATA'!$B$2:$C$1000,2,FALSE)</f>
        <v>47</v>
      </c>
      <c r="D363" s="1">
        <v>3</v>
      </c>
      <c r="E363" s="1" t="str">
        <f>VLOOKUP(B363,'NOVACART DATA'!$B$2:$M$1001,5,FALSE)</f>
        <v>Organic</v>
      </c>
      <c r="F363" s="1">
        <v>1</v>
      </c>
      <c r="G363" s="1">
        <v>25.47</v>
      </c>
      <c r="H363" s="1">
        <v>0</v>
      </c>
      <c r="I363" s="17">
        <f t="shared" si="5"/>
        <v>25.47</v>
      </c>
      <c r="J363" s="1">
        <f>VLOOKUP(B363,'NOVACART DATA'!$B$2:$N$1001,13,FALSE)</f>
        <v>0</v>
      </c>
    </row>
    <row r="364" spans="1:10">
      <c r="A364" s="2">
        <f>VLOOKUP(B364,CHOOSE({1,2},'NOVACART DATA'!$B$2:$B$1001,'NOVACART DATA'!$A$2:$A$1001),2,FALSE)</f>
        <v>46075</v>
      </c>
      <c r="B364" s="1">
        <v>1520</v>
      </c>
      <c r="C364" s="1">
        <f>VLOOKUP(B364,'NOVACART DATA'!$B$2:$C$1000,2,FALSE)</f>
        <v>47</v>
      </c>
      <c r="D364" s="1">
        <v>34</v>
      </c>
      <c r="E364" s="1" t="str">
        <f>VLOOKUP(B364,'NOVACART DATA'!$B$2:$M$1001,5,FALSE)</f>
        <v>Organic</v>
      </c>
      <c r="F364" s="1">
        <v>1</v>
      </c>
      <c r="G364" s="1">
        <v>58.26</v>
      </c>
      <c r="H364" s="1">
        <v>5</v>
      </c>
      <c r="I364" s="17">
        <f t="shared" si="5"/>
        <v>55.346999999999994</v>
      </c>
      <c r="J364" s="1">
        <f>VLOOKUP(B364,'NOVACART DATA'!$B$2:$N$1001,13,FALSE)</f>
        <v>0</v>
      </c>
    </row>
    <row r="365" spans="1:10">
      <c r="A365" s="2">
        <f>VLOOKUP(B365,CHOOSE({1,2},'NOVACART DATA'!$B$2:$B$1001,'NOVACART DATA'!$A$2:$A$1001),2,FALSE)</f>
        <v>46081</v>
      </c>
      <c r="B365" s="1">
        <v>1543</v>
      </c>
      <c r="C365" s="1">
        <f>VLOOKUP(B365,'NOVACART DATA'!$B$2:$C$1000,2,FALSE)</f>
        <v>47</v>
      </c>
      <c r="D365" s="1">
        <v>29</v>
      </c>
      <c r="E365" s="1" t="str">
        <f>VLOOKUP(B365,'NOVACART DATA'!$B$2:$M$1001,5,FALSE)</f>
        <v>Organic</v>
      </c>
      <c r="F365" s="1">
        <v>2</v>
      </c>
      <c r="G365" s="1">
        <v>45.67</v>
      </c>
      <c r="H365" s="1">
        <v>5</v>
      </c>
      <c r="I365" s="17">
        <f t="shared" si="5"/>
        <v>86.772999999999996</v>
      </c>
      <c r="J365" s="1">
        <f>VLOOKUP(B365,'NOVACART DATA'!$B$2:$N$1001,13,FALSE)</f>
        <v>0</v>
      </c>
    </row>
    <row r="366" spans="1:10">
      <c r="A366" s="2">
        <f>VLOOKUP(B366,CHOOSE({1,2},'NOVACART DATA'!$B$2:$B$1001,'NOVACART DATA'!$A$2:$A$1001),2,FALSE)</f>
        <v>46081</v>
      </c>
      <c r="B366" s="1">
        <v>1543</v>
      </c>
      <c r="C366" s="1">
        <f>VLOOKUP(B366,'NOVACART DATA'!$B$2:$C$1000,2,FALSE)</f>
        <v>47</v>
      </c>
      <c r="D366" s="1">
        <v>10</v>
      </c>
      <c r="E366" s="1" t="str">
        <f>VLOOKUP(B366,'NOVACART DATA'!$B$2:$M$1001,5,FALSE)</f>
        <v>Organic</v>
      </c>
      <c r="F366" s="1">
        <v>1</v>
      </c>
      <c r="G366" s="1">
        <v>38.869999999999997</v>
      </c>
      <c r="H366" s="1">
        <v>0</v>
      </c>
      <c r="I366" s="17">
        <f t="shared" si="5"/>
        <v>38.869999999999997</v>
      </c>
      <c r="J366" s="1">
        <f>VLOOKUP(B366,'NOVACART DATA'!$B$2:$N$1001,13,FALSE)</f>
        <v>0</v>
      </c>
    </row>
    <row r="367" spans="1:10">
      <c r="A367" s="2">
        <f>VLOOKUP(B367,CHOOSE({1,2},'NOVACART DATA'!$B$2:$B$1001,'NOVACART DATA'!$A$2:$A$1001),2,FALSE)</f>
        <v>45987</v>
      </c>
      <c r="B367" s="1">
        <v>1180</v>
      </c>
      <c r="C367" s="1">
        <f>VLOOKUP(B367,'NOVACART DATA'!$B$2:$C$1000,2,FALSE)</f>
        <v>47</v>
      </c>
      <c r="D367" s="1">
        <v>19</v>
      </c>
      <c r="E367" s="1" t="str">
        <f>VLOOKUP(B367,'NOVACART DATA'!$B$2:$M$1001,5,FALSE)</f>
        <v>Organic</v>
      </c>
      <c r="F367" s="1">
        <v>1</v>
      </c>
      <c r="G367" s="1">
        <v>50.14</v>
      </c>
      <c r="H367" s="1">
        <v>10</v>
      </c>
      <c r="I367" s="17">
        <f t="shared" si="5"/>
        <v>45.126000000000005</v>
      </c>
      <c r="J367" s="1">
        <f>VLOOKUP(B367,'NOVACART DATA'!$B$2:$N$1001,13,FALSE)</f>
        <v>0</v>
      </c>
    </row>
    <row r="368" spans="1:10">
      <c r="A368" s="2">
        <f>VLOOKUP(B368,CHOOSE({1,2},'NOVACART DATA'!$B$2:$B$1001,'NOVACART DATA'!$A$2:$A$1001),2,FALSE)</f>
        <v>45668</v>
      </c>
      <c r="B368" s="1">
        <v>1065</v>
      </c>
      <c r="C368" s="1">
        <f>VLOOKUP(B368,'NOVACART DATA'!$B$2:$C$1000,2,FALSE)</f>
        <v>48</v>
      </c>
      <c r="D368" s="1">
        <v>20</v>
      </c>
      <c r="E368" s="1" t="str">
        <f>VLOOKUP(B368,'NOVACART DATA'!$B$2:$M$1001,5,FALSE)</f>
        <v>Organic</v>
      </c>
      <c r="F368" s="1">
        <v>1</v>
      </c>
      <c r="G368" s="1">
        <v>32.76</v>
      </c>
      <c r="H368" s="1">
        <v>0</v>
      </c>
      <c r="I368" s="17">
        <f t="shared" si="5"/>
        <v>32.76</v>
      </c>
      <c r="J368" s="1">
        <f>VLOOKUP(B368,'NOVACART DATA'!$B$2:$N$1001,13,FALSE)</f>
        <v>0</v>
      </c>
    </row>
    <row r="369" spans="1:10">
      <c r="A369" s="2">
        <f>VLOOKUP(B369,CHOOSE({1,2},'NOVACART DATA'!$B$2:$B$1001,'NOVACART DATA'!$A$2:$A$1001),2,FALSE)</f>
        <v>45668</v>
      </c>
      <c r="B369" s="1">
        <v>1065</v>
      </c>
      <c r="C369" s="1">
        <f>VLOOKUP(B369,'NOVACART DATA'!$B$2:$C$1000,2,FALSE)</f>
        <v>48</v>
      </c>
      <c r="D369" s="1">
        <v>11</v>
      </c>
      <c r="E369" s="1" t="str">
        <f>VLOOKUP(B369,'NOVACART DATA'!$B$2:$M$1001,5,FALSE)</f>
        <v>Organic</v>
      </c>
      <c r="F369" s="1">
        <v>1</v>
      </c>
      <c r="G369" s="1">
        <v>58.35</v>
      </c>
      <c r="H369" s="1">
        <v>0</v>
      </c>
      <c r="I369" s="17">
        <f t="shared" si="5"/>
        <v>58.35</v>
      </c>
      <c r="J369" s="1">
        <f>VLOOKUP(B369,'NOVACART DATA'!$B$2:$N$1001,13,FALSE)</f>
        <v>0</v>
      </c>
    </row>
    <row r="370" spans="1:10">
      <c r="A370" s="2">
        <f>VLOOKUP(B370,CHOOSE({1,2},'NOVACART DATA'!$B$2:$B$1001,'NOVACART DATA'!$A$2:$A$1001),2,FALSE)</f>
        <v>45972</v>
      </c>
      <c r="B370" s="1">
        <v>1111</v>
      </c>
      <c r="C370" s="1">
        <f>VLOOKUP(B370,'NOVACART DATA'!$B$2:$C$1000,2,FALSE)</f>
        <v>48</v>
      </c>
      <c r="D370" s="1">
        <v>28</v>
      </c>
      <c r="E370" s="1" t="str">
        <f>VLOOKUP(B370,'NOVACART DATA'!$B$2:$M$1001,5,FALSE)</f>
        <v>Paid Search</v>
      </c>
      <c r="F370" s="1">
        <v>2</v>
      </c>
      <c r="G370" s="1">
        <v>21.24</v>
      </c>
      <c r="H370" s="1">
        <v>0</v>
      </c>
      <c r="I370" s="17">
        <f t="shared" si="5"/>
        <v>42.48</v>
      </c>
      <c r="J370" s="1">
        <f>VLOOKUP(B370,'NOVACART DATA'!$B$2:$N$1001,13,FALSE)</f>
        <v>0</v>
      </c>
    </row>
    <row r="371" spans="1:10">
      <c r="A371" s="2">
        <f>VLOOKUP(B371,CHOOSE({1,2},'NOVACART DATA'!$B$2:$B$1001,'NOVACART DATA'!$A$2:$A$1001),2,FALSE)</f>
        <v>45980</v>
      </c>
      <c r="B371" s="1">
        <v>1151</v>
      </c>
      <c r="C371" s="1">
        <f>VLOOKUP(B371,'NOVACART DATA'!$B$2:$C$1000,2,FALSE)</f>
        <v>48</v>
      </c>
      <c r="D371" s="1">
        <v>2</v>
      </c>
      <c r="E371" s="1" t="str">
        <f>VLOOKUP(B371,'NOVACART DATA'!$B$2:$M$1001,5,FALSE)</f>
        <v>Paid Search</v>
      </c>
      <c r="F371" s="1">
        <v>1</v>
      </c>
      <c r="G371" s="1">
        <v>64.02</v>
      </c>
      <c r="H371" s="1">
        <v>25</v>
      </c>
      <c r="I371" s="17">
        <f t="shared" si="5"/>
        <v>48.015000000000001</v>
      </c>
      <c r="J371" s="1">
        <f>VLOOKUP(B371,'NOVACART DATA'!$B$2:$N$1001,13,FALSE)</f>
        <v>0</v>
      </c>
    </row>
    <row r="372" spans="1:10">
      <c r="A372" s="2">
        <f>VLOOKUP(B372,CHOOSE({1,2},'NOVACART DATA'!$B$2:$B$1001,'NOVACART DATA'!$A$2:$A$1001),2,FALSE)</f>
        <v>45980</v>
      </c>
      <c r="B372" s="1">
        <v>1151</v>
      </c>
      <c r="C372" s="1">
        <f>VLOOKUP(B372,'NOVACART DATA'!$B$2:$C$1000,2,FALSE)</f>
        <v>48</v>
      </c>
      <c r="D372" s="1">
        <v>13</v>
      </c>
      <c r="E372" s="1" t="str">
        <f>VLOOKUP(B372,'NOVACART DATA'!$B$2:$M$1001,5,FALSE)</f>
        <v>Paid Search</v>
      </c>
      <c r="F372" s="1">
        <v>1</v>
      </c>
      <c r="G372" s="1">
        <v>54.9</v>
      </c>
      <c r="H372" s="1">
        <v>25</v>
      </c>
      <c r="I372" s="17">
        <f t="shared" si="5"/>
        <v>41.174999999999997</v>
      </c>
      <c r="J372" s="1">
        <f>VLOOKUP(B372,'NOVACART DATA'!$B$2:$N$1001,13,FALSE)</f>
        <v>0</v>
      </c>
    </row>
    <row r="373" spans="1:10">
      <c r="A373" s="2">
        <f>VLOOKUP(B373,CHOOSE({1,2},'NOVACART DATA'!$B$2:$B$1001,'NOVACART DATA'!$A$2:$A$1001),2,FALSE)</f>
        <v>45980</v>
      </c>
      <c r="B373" s="1">
        <v>1151</v>
      </c>
      <c r="C373" s="1">
        <f>VLOOKUP(B373,'NOVACART DATA'!$B$2:$C$1000,2,FALSE)</f>
        <v>48</v>
      </c>
      <c r="D373" s="1">
        <v>40</v>
      </c>
      <c r="E373" s="1" t="str">
        <f>VLOOKUP(B373,'NOVACART DATA'!$B$2:$M$1001,5,FALSE)</f>
        <v>Paid Search</v>
      </c>
      <c r="F373" s="1">
        <v>2</v>
      </c>
      <c r="G373" s="1">
        <v>47.25</v>
      </c>
      <c r="H373" s="1">
        <v>10</v>
      </c>
      <c r="I373" s="17">
        <f t="shared" si="5"/>
        <v>85.05</v>
      </c>
      <c r="J373" s="1">
        <f>VLOOKUP(B373,'NOVACART DATA'!$B$2:$N$1001,13,FALSE)</f>
        <v>0</v>
      </c>
    </row>
    <row r="374" spans="1:10">
      <c r="A374" s="2">
        <f>VLOOKUP(B374,CHOOSE({1,2},'NOVACART DATA'!$B$2:$B$1001,'NOVACART DATA'!$A$2:$A$1001),2,FALSE)</f>
        <v>45980</v>
      </c>
      <c r="B374" s="1">
        <v>1151</v>
      </c>
      <c r="C374" s="1">
        <f>VLOOKUP(B374,'NOVACART DATA'!$B$2:$C$1000,2,FALSE)</f>
        <v>48</v>
      </c>
      <c r="D374" s="1">
        <v>19</v>
      </c>
      <c r="E374" s="1" t="str">
        <f>VLOOKUP(B374,'NOVACART DATA'!$B$2:$M$1001,5,FALSE)</f>
        <v>Paid Search</v>
      </c>
      <c r="F374" s="1">
        <v>1</v>
      </c>
      <c r="G374" s="1">
        <v>50.14</v>
      </c>
      <c r="H374" s="1">
        <v>15</v>
      </c>
      <c r="I374" s="17">
        <f t="shared" si="5"/>
        <v>42.619</v>
      </c>
      <c r="J374" s="1">
        <f>VLOOKUP(B374,'NOVACART DATA'!$B$2:$N$1001,13,FALSE)</f>
        <v>0</v>
      </c>
    </row>
    <row r="375" spans="1:10">
      <c r="A375" s="2">
        <f>VLOOKUP(B375,CHOOSE({1,2},'NOVACART DATA'!$B$2:$B$1001,'NOVACART DATA'!$A$2:$A$1001),2,FALSE)</f>
        <v>46357</v>
      </c>
      <c r="B375" s="1">
        <v>1396</v>
      </c>
      <c r="C375" s="1">
        <f>VLOOKUP(B375,'NOVACART DATA'!$B$2:$C$1000,2,FALSE)</f>
        <v>48</v>
      </c>
      <c r="D375" s="1">
        <v>19</v>
      </c>
      <c r="E375" s="1" t="str">
        <f>VLOOKUP(B375,'NOVACART DATA'!$B$2:$M$1001,5,FALSE)</f>
        <v>Paid Search</v>
      </c>
      <c r="F375" s="1">
        <v>2</v>
      </c>
      <c r="G375" s="1">
        <v>50.14</v>
      </c>
      <c r="H375" s="1">
        <v>0</v>
      </c>
      <c r="I375" s="17">
        <f t="shared" si="5"/>
        <v>100.28</v>
      </c>
      <c r="J375" s="1">
        <f>VLOOKUP(B375,'NOVACART DATA'!$B$2:$N$1001,13,FALSE)</f>
        <v>0</v>
      </c>
    </row>
    <row r="376" spans="1:10">
      <c r="A376" s="2">
        <f>VLOOKUP(B376,CHOOSE({1,2},'NOVACART DATA'!$B$2:$B$1001,'NOVACART DATA'!$A$2:$A$1001),2,FALSE)</f>
        <v>46357</v>
      </c>
      <c r="B376" s="1">
        <v>1396</v>
      </c>
      <c r="C376" s="1">
        <f>VLOOKUP(B376,'NOVACART DATA'!$B$2:$C$1000,2,FALSE)</f>
        <v>48</v>
      </c>
      <c r="D376" s="1">
        <v>30</v>
      </c>
      <c r="E376" s="1" t="str">
        <f>VLOOKUP(B376,'NOVACART DATA'!$B$2:$M$1001,5,FALSE)</f>
        <v>Paid Search</v>
      </c>
      <c r="F376" s="1">
        <v>1</v>
      </c>
      <c r="G376" s="1">
        <v>41.49</v>
      </c>
      <c r="H376" s="1">
        <v>0</v>
      </c>
      <c r="I376" s="17">
        <f t="shared" si="5"/>
        <v>41.49</v>
      </c>
      <c r="J376" s="1">
        <f>VLOOKUP(B376,'NOVACART DATA'!$B$2:$N$1001,13,FALSE)</f>
        <v>0</v>
      </c>
    </row>
    <row r="377" spans="1:10">
      <c r="A377" s="2">
        <f>VLOOKUP(B377,CHOOSE({1,2},'NOVACART DATA'!$B$2:$B$1001,'NOVACART DATA'!$A$2:$A$1001),2,FALSE)</f>
        <v>46357</v>
      </c>
      <c r="B377" s="1">
        <v>1396</v>
      </c>
      <c r="C377" s="1">
        <f>VLOOKUP(B377,'NOVACART DATA'!$B$2:$C$1000,2,FALSE)</f>
        <v>48</v>
      </c>
      <c r="D377" s="1">
        <v>19</v>
      </c>
      <c r="E377" s="1" t="str">
        <f>VLOOKUP(B377,'NOVACART DATA'!$B$2:$M$1001,5,FALSE)</f>
        <v>Paid Search</v>
      </c>
      <c r="F377" s="1">
        <v>1</v>
      </c>
      <c r="G377" s="1">
        <v>50.14</v>
      </c>
      <c r="H377" s="1">
        <v>0</v>
      </c>
      <c r="I377" s="17">
        <f t="shared" si="5"/>
        <v>50.14</v>
      </c>
      <c r="J377" s="1">
        <f>VLOOKUP(B377,'NOVACART DATA'!$B$2:$N$1001,13,FALSE)</f>
        <v>0</v>
      </c>
    </row>
    <row r="378" spans="1:10">
      <c r="A378" s="2">
        <f>VLOOKUP(B378,CHOOSE({1,2},'NOVACART DATA'!$B$2:$B$1001,'NOVACART DATA'!$A$2:$A$1001),2,FALSE)</f>
        <v>46357</v>
      </c>
      <c r="B378" s="1">
        <v>1396</v>
      </c>
      <c r="C378" s="1">
        <f>VLOOKUP(B378,'NOVACART DATA'!$B$2:$C$1000,2,FALSE)</f>
        <v>48</v>
      </c>
      <c r="D378" s="1">
        <v>39</v>
      </c>
      <c r="E378" s="1" t="str">
        <f>VLOOKUP(B378,'NOVACART DATA'!$B$2:$M$1001,5,FALSE)</f>
        <v>Paid Search</v>
      </c>
      <c r="F378" s="1">
        <v>1</v>
      </c>
      <c r="G378" s="1">
        <v>39.979999999999997</v>
      </c>
      <c r="H378" s="1">
        <v>0</v>
      </c>
      <c r="I378" s="17">
        <f t="shared" si="5"/>
        <v>39.979999999999997</v>
      </c>
      <c r="J378" s="1">
        <f>VLOOKUP(B378,'NOVACART DATA'!$B$2:$N$1001,13,FALSE)</f>
        <v>0</v>
      </c>
    </row>
    <row r="379" spans="1:10">
      <c r="A379" s="2">
        <f>VLOOKUP(B379,CHOOSE({1,2},'NOVACART DATA'!$B$2:$B$1001,'NOVACART DATA'!$A$2:$A$1001),2,FALSE)</f>
        <v>45942</v>
      </c>
      <c r="B379" s="1">
        <v>1249</v>
      </c>
      <c r="C379" s="1">
        <f>VLOOKUP(B379,'NOVACART DATA'!$B$2:$C$1000,2,FALSE)</f>
        <v>49</v>
      </c>
      <c r="D379" s="1">
        <v>5</v>
      </c>
      <c r="E379" s="1" t="str">
        <f>VLOOKUP(B379,'NOVACART DATA'!$B$2:$M$1001,5,FALSE)</f>
        <v>Organic</v>
      </c>
      <c r="F379" s="1">
        <v>2</v>
      </c>
      <c r="G379" s="1">
        <v>38.869999999999997</v>
      </c>
      <c r="H379" s="1">
        <v>0</v>
      </c>
      <c r="I379" s="17">
        <f t="shared" si="5"/>
        <v>77.739999999999995</v>
      </c>
      <c r="J379" s="1">
        <f>VLOOKUP(B379,'NOVACART DATA'!$B$2:$N$1001,13,FALSE)</f>
        <v>0</v>
      </c>
    </row>
    <row r="380" spans="1:10">
      <c r="A380" s="2">
        <f>VLOOKUP(B380,CHOOSE({1,2},'NOVACART DATA'!$B$2:$B$1001,'NOVACART DATA'!$A$2:$A$1001),2,FALSE)</f>
        <v>45942</v>
      </c>
      <c r="B380" s="1">
        <v>1249</v>
      </c>
      <c r="C380" s="1">
        <f>VLOOKUP(B380,'NOVACART DATA'!$B$2:$C$1000,2,FALSE)</f>
        <v>49</v>
      </c>
      <c r="D380" s="1">
        <v>21</v>
      </c>
      <c r="E380" s="1" t="str">
        <f>VLOOKUP(B380,'NOVACART DATA'!$B$2:$M$1001,5,FALSE)</f>
        <v>Organic</v>
      </c>
      <c r="F380" s="1">
        <v>2</v>
      </c>
      <c r="G380" s="1">
        <v>49.37</v>
      </c>
      <c r="H380" s="1">
        <v>0</v>
      </c>
      <c r="I380" s="17">
        <f t="shared" si="5"/>
        <v>98.74</v>
      </c>
      <c r="J380" s="1">
        <f>VLOOKUP(B380,'NOVACART DATA'!$B$2:$N$1001,13,FALSE)</f>
        <v>0</v>
      </c>
    </row>
    <row r="381" spans="1:10">
      <c r="A381" s="2">
        <f>VLOOKUP(B381,CHOOSE({1,2},'NOVACART DATA'!$B$2:$B$1001,'NOVACART DATA'!$A$2:$A$1001),2,FALSE)</f>
        <v>45942</v>
      </c>
      <c r="B381" s="1">
        <v>1249</v>
      </c>
      <c r="C381" s="1">
        <f>VLOOKUP(B381,'NOVACART DATA'!$B$2:$C$1000,2,FALSE)</f>
        <v>49</v>
      </c>
      <c r="D381" s="1">
        <v>39</v>
      </c>
      <c r="E381" s="1" t="str">
        <f>VLOOKUP(B381,'NOVACART DATA'!$B$2:$M$1001,5,FALSE)</f>
        <v>Organic</v>
      </c>
      <c r="F381" s="1">
        <v>1</v>
      </c>
      <c r="G381" s="1">
        <v>39.979999999999997</v>
      </c>
      <c r="H381" s="1">
        <v>0</v>
      </c>
      <c r="I381" s="17">
        <f t="shared" si="5"/>
        <v>39.979999999999997</v>
      </c>
      <c r="J381" s="1">
        <f>VLOOKUP(B381,'NOVACART DATA'!$B$2:$N$1001,13,FALSE)</f>
        <v>0</v>
      </c>
    </row>
    <row r="382" spans="1:10">
      <c r="A382" s="2">
        <f>VLOOKUP(B382,CHOOSE({1,2},'NOVACART DATA'!$B$2:$B$1001,'NOVACART DATA'!$A$2:$A$1001),2,FALSE)</f>
        <v>45942</v>
      </c>
      <c r="B382" s="1">
        <v>1249</v>
      </c>
      <c r="C382" s="1">
        <f>VLOOKUP(B382,'NOVACART DATA'!$B$2:$C$1000,2,FALSE)</f>
        <v>49</v>
      </c>
      <c r="D382" s="1">
        <v>17</v>
      </c>
      <c r="E382" s="1" t="str">
        <f>VLOOKUP(B382,'NOVACART DATA'!$B$2:$M$1001,5,FALSE)</f>
        <v>Organic</v>
      </c>
      <c r="F382" s="1">
        <v>3</v>
      </c>
      <c r="G382" s="1">
        <v>6.61</v>
      </c>
      <c r="H382" s="1">
        <v>0</v>
      </c>
      <c r="I382" s="17">
        <f t="shared" si="5"/>
        <v>19.830000000000002</v>
      </c>
      <c r="J382" s="1">
        <f>VLOOKUP(B382,'NOVACART DATA'!$B$2:$N$1001,13,FALSE)</f>
        <v>0</v>
      </c>
    </row>
    <row r="383" spans="1:10">
      <c r="A383" s="2">
        <f>VLOOKUP(B383,CHOOSE({1,2},'NOVACART DATA'!$B$2:$B$1001,'NOVACART DATA'!$A$2:$A$1001),2,FALSE)</f>
        <v>46006</v>
      </c>
      <c r="B383" s="1">
        <v>1281</v>
      </c>
      <c r="C383" s="1">
        <f>VLOOKUP(B383,'NOVACART DATA'!$B$2:$C$1000,2,FALSE)</f>
        <v>49</v>
      </c>
      <c r="D383" s="1">
        <v>28</v>
      </c>
      <c r="E383" s="1" t="str">
        <f>VLOOKUP(B383,'NOVACART DATA'!$B$2:$M$1001,5,FALSE)</f>
        <v>Referral</v>
      </c>
      <c r="F383" s="1">
        <v>1</v>
      </c>
      <c r="G383" s="1">
        <v>21.24</v>
      </c>
      <c r="H383" s="1">
        <v>0</v>
      </c>
      <c r="I383" s="17">
        <f t="shared" si="5"/>
        <v>21.24</v>
      </c>
      <c r="J383" s="1">
        <f>VLOOKUP(B383,'NOVACART DATA'!$B$2:$N$1001,13,FALSE)</f>
        <v>0</v>
      </c>
    </row>
    <row r="384" spans="1:10">
      <c r="A384" s="2">
        <f>VLOOKUP(B384,CHOOSE({1,2},'NOVACART DATA'!$B$2:$B$1001,'NOVACART DATA'!$A$2:$A$1001),2,FALSE)</f>
        <v>46236</v>
      </c>
      <c r="B384" s="1">
        <v>1466</v>
      </c>
      <c r="C384" s="1">
        <f>VLOOKUP(B384,'NOVACART DATA'!$B$2:$C$1000,2,FALSE)</f>
        <v>49</v>
      </c>
      <c r="D384" s="1">
        <v>32</v>
      </c>
      <c r="E384" s="1" t="str">
        <f>VLOOKUP(B384,'NOVACART DATA'!$B$2:$M$1001,5,FALSE)</f>
        <v>Referral</v>
      </c>
      <c r="F384" s="1">
        <v>3</v>
      </c>
      <c r="G384" s="1">
        <v>61.06</v>
      </c>
      <c r="H384" s="1">
        <v>20</v>
      </c>
      <c r="I384" s="17">
        <f t="shared" si="5"/>
        <v>146.54400000000001</v>
      </c>
      <c r="J384" s="1">
        <f>VLOOKUP(B384,'NOVACART DATA'!$B$2:$N$1001,13,FALSE)</f>
        <v>0</v>
      </c>
    </row>
    <row r="385" spans="1:10">
      <c r="A385" s="2">
        <f>VLOOKUP(B385,CHOOSE({1,2},'NOVACART DATA'!$B$2:$B$1001,'NOVACART DATA'!$A$2:$A$1001),2,FALSE)</f>
        <v>45819</v>
      </c>
      <c r="B385" s="1">
        <v>1083</v>
      </c>
      <c r="C385" s="1">
        <f>VLOOKUP(B385,'NOVACART DATA'!$B$2:$C$1000,2,FALSE)</f>
        <v>50</v>
      </c>
      <c r="D385" s="1">
        <v>35</v>
      </c>
      <c r="E385" s="1" t="str">
        <f>VLOOKUP(B385,'NOVACART DATA'!$B$2:$M$1001,5,FALSE)</f>
        <v>Direct</v>
      </c>
      <c r="F385" s="1">
        <v>1</v>
      </c>
      <c r="G385" s="1">
        <v>11.3</v>
      </c>
      <c r="H385" s="1">
        <v>0</v>
      </c>
      <c r="I385" s="17">
        <f t="shared" si="5"/>
        <v>11.3</v>
      </c>
      <c r="J385" s="1">
        <f>VLOOKUP(B385,'NOVACART DATA'!$B$2:$N$1001,13,FALSE)</f>
        <v>0</v>
      </c>
    </row>
    <row r="386" spans="1:10">
      <c r="A386" s="2">
        <f>VLOOKUP(B386,CHOOSE({1,2},'NOVACART DATA'!$B$2:$B$1001,'NOVACART DATA'!$A$2:$A$1001),2,FALSE)</f>
        <v>45819</v>
      </c>
      <c r="B386" s="1">
        <v>1083</v>
      </c>
      <c r="C386" s="1">
        <f>VLOOKUP(B386,'NOVACART DATA'!$B$2:$C$1000,2,FALSE)</f>
        <v>50</v>
      </c>
      <c r="D386" s="1">
        <v>17</v>
      </c>
      <c r="E386" s="1" t="str">
        <f>VLOOKUP(B386,'NOVACART DATA'!$B$2:$M$1001,5,FALSE)</f>
        <v>Direct</v>
      </c>
      <c r="F386" s="1">
        <v>2</v>
      </c>
      <c r="G386" s="1">
        <v>6.61</v>
      </c>
      <c r="H386" s="1">
        <v>0</v>
      </c>
      <c r="I386" s="17">
        <f t="shared" ref="I386:I449" si="6">F386*G386*(1-H386/100)</f>
        <v>13.22</v>
      </c>
      <c r="J386" s="1">
        <f>VLOOKUP(B386,'NOVACART DATA'!$B$2:$N$1001,13,FALSE)</f>
        <v>0</v>
      </c>
    </row>
    <row r="387" spans="1:10">
      <c r="A387" s="2">
        <f>VLOOKUP(B387,CHOOSE({1,2},'NOVACART DATA'!$B$2:$B$1001,'NOVACART DATA'!$A$2:$A$1001),2,FALSE)</f>
        <v>45819</v>
      </c>
      <c r="B387" s="1">
        <v>1083</v>
      </c>
      <c r="C387" s="1">
        <f>VLOOKUP(B387,'NOVACART DATA'!$B$2:$C$1000,2,FALSE)</f>
        <v>50</v>
      </c>
      <c r="D387" s="1">
        <v>30</v>
      </c>
      <c r="E387" s="1" t="str">
        <f>VLOOKUP(B387,'NOVACART DATA'!$B$2:$M$1001,5,FALSE)</f>
        <v>Direct</v>
      </c>
      <c r="F387" s="1">
        <v>1</v>
      </c>
      <c r="G387" s="1">
        <v>41.49</v>
      </c>
      <c r="H387" s="1">
        <v>0</v>
      </c>
      <c r="I387" s="17">
        <f t="shared" si="6"/>
        <v>41.49</v>
      </c>
      <c r="J387" s="1">
        <f>VLOOKUP(B387,'NOVACART DATA'!$B$2:$N$1001,13,FALSE)</f>
        <v>0</v>
      </c>
    </row>
    <row r="388" spans="1:10">
      <c r="A388" s="2">
        <f>VLOOKUP(B388,CHOOSE({1,2},'NOVACART DATA'!$B$2:$B$1001,'NOVACART DATA'!$A$2:$A$1001),2,FALSE)</f>
        <v>45819</v>
      </c>
      <c r="B388" s="1">
        <v>1083</v>
      </c>
      <c r="C388" s="1">
        <f>VLOOKUP(B388,'NOVACART DATA'!$B$2:$C$1000,2,FALSE)</f>
        <v>50</v>
      </c>
      <c r="D388" s="1">
        <v>1</v>
      </c>
      <c r="E388" s="1" t="str">
        <f>VLOOKUP(B388,'NOVACART DATA'!$B$2:$M$1001,5,FALSE)</f>
        <v>Direct</v>
      </c>
      <c r="F388" s="1">
        <v>1</v>
      </c>
      <c r="G388" s="1">
        <v>38.869999999999997</v>
      </c>
      <c r="H388" s="1">
        <v>0</v>
      </c>
      <c r="I388" s="17">
        <f t="shared" si="6"/>
        <v>38.869999999999997</v>
      </c>
      <c r="J388" s="1">
        <f>VLOOKUP(B388,'NOVACART DATA'!$B$2:$N$1001,13,FALSE)</f>
        <v>0</v>
      </c>
    </row>
    <row r="389" spans="1:10">
      <c r="A389" s="2">
        <f>VLOOKUP(B389,CHOOSE({1,2},'NOVACART DATA'!$B$2:$B$1001,'NOVACART DATA'!$A$2:$A$1001),2,FALSE)</f>
        <v>45951</v>
      </c>
      <c r="B389" s="1">
        <v>1038</v>
      </c>
      <c r="C389" s="1">
        <f>VLOOKUP(B389,'NOVACART DATA'!$B$2:$C$1000,2,FALSE)</f>
        <v>51</v>
      </c>
      <c r="D389" s="1">
        <v>4</v>
      </c>
      <c r="E389" s="1" t="str">
        <f>VLOOKUP(B389,'NOVACART DATA'!$B$2:$M$1001,5,FALSE)</f>
        <v>Email</v>
      </c>
      <c r="F389" s="1">
        <v>2</v>
      </c>
      <c r="G389" s="1">
        <v>34.83</v>
      </c>
      <c r="H389" s="1">
        <v>0</v>
      </c>
      <c r="I389" s="17">
        <f t="shared" si="6"/>
        <v>69.66</v>
      </c>
      <c r="J389" s="1">
        <f>VLOOKUP(B389,'NOVACART DATA'!$B$2:$N$1001,13,FALSE)</f>
        <v>0</v>
      </c>
    </row>
    <row r="390" spans="1:10">
      <c r="A390" s="2">
        <f>VLOOKUP(B390,CHOOSE({1,2},'NOVACART DATA'!$B$2:$B$1001,'NOVACART DATA'!$A$2:$A$1001),2,FALSE)</f>
        <v>45951</v>
      </c>
      <c r="B390" s="1">
        <v>1038</v>
      </c>
      <c r="C390" s="1">
        <f>VLOOKUP(B390,'NOVACART DATA'!$B$2:$C$1000,2,FALSE)</f>
        <v>51</v>
      </c>
      <c r="D390" s="1">
        <v>4</v>
      </c>
      <c r="E390" s="1" t="str">
        <f>VLOOKUP(B390,'NOVACART DATA'!$B$2:$M$1001,5,FALSE)</f>
        <v>Email</v>
      </c>
      <c r="F390" s="1">
        <v>3</v>
      </c>
      <c r="G390" s="1">
        <v>34.83</v>
      </c>
      <c r="H390" s="1">
        <v>0</v>
      </c>
      <c r="I390" s="17">
        <f t="shared" si="6"/>
        <v>104.49</v>
      </c>
      <c r="J390" s="1">
        <f>VLOOKUP(B390,'NOVACART DATA'!$B$2:$N$1001,13,FALSE)</f>
        <v>0</v>
      </c>
    </row>
    <row r="391" spans="1:10">
      <c r="A391" s="2">
        <f>VLOOKUP(B391,CHOOSE({1,2},'NOVACART DATA'!$B$2:$B$1001,'NOVACART DATA'!$A$2:$A$1001),2,FALSE)</f>
        <v>46020</v>
      </c>
      <c r="B391" s="1">
        <v>1351</v>
      </c>
      <c r="C391" s="1">
        <f>VLOOKUP(B391,'NOVACART DATA'!$B$2:$C$1000,2,FALSE)</f>
        <v>51</v>
      </c>
      <c r="D391" s="1">
        <v>4</v>
      </c>
      <c r="E391" s="1" t="str">
        <f>VLOOKUP(B391,'NOVACART DATA'!$B$2:$M$1001,5,FALSE)</f>
        <v>Email</v>
      </c>
      <c r="F391" s="1">
        <v>1</v>
      </c>
      <c r="G391" s="1">
        <v>34.83</v>
      </c>
      <c r="H391" s="1">
        <v>0</v>
      </c>
      <c r="I391" s="17">
        <f t="shared" si="6"/>
        <v>34.83</v>
      </c>
      <c r="J391" s="1">
        <f>VLOOKUP(B391,'NOVACART DATA'!$B$2:$N$1001,13,FALSE)</f>
        <v>0</v>
      </c>
    </row>
    <row r="392" spans="1:10">
      <c r="A392" s="2">
        <f>VLOOKUP(B392,CHOOSE({1,2},'NOVACART DATA'!$B$2:$B$1001,'NOVACART DATA'!$A$2:$A$1001),2,FALSE)</f>
        <v>46074</v>
      </c>
      <c r="B392" s="1">
        <v>1513</v>
      </c>
      <c r="C392" s="1">
        <f>VLOOKUP(B392,'NOVACART DATA'!$B$2:$C$1000,2,FALSE)</f>
        <v>51</v>
      </c>
      <c r="D392" s="1">
        <v>17</v>
      </c>
      <c r="E392" s="1" t="str">
        <f>VLOOKUP(B392,'NOVACART DATA'!$B$2:$M$1001,5,FALSE)</f>
        <v>Email</v>
      </c>
      <c r="F392" s="1">
        <v>1</v>
      </c>
      <c r="G392" s="1">
        <v>6.61</v>
      </c>
      <c r="H392" s="1">
        <v>15</v>
      </c>
      <c r="I392" s="17">
        <f t="shared" si="6"/>
        <v>5.6185</v>
      </c>
      <c r="J392" s="1">
        <f>VLOOKUP(B392,'NOVACART DATA'!$B$2:$N$1001,13,FALSE)</f>
        <v>0</v>
      </c>
    </row>
    <row r="393" spans="1:10">
      <c r="A393" s="2">
        <f>VLOOKUP(B393,CHOOSE({1,2},'NOVACART DATA'!$B$2:$B$1001,'NOVACART DATA'!$A$2:$A$1001),2,FALSE)</f>
        <v>46074</v>
      </c>
      <c r="B393" s="1">
        <v>1513</v>
      </c>
      <c r="C393" s="1">
        <f>VLOOKUP(B393,'NOVACART DATA'!$B$2:$C$1000,2,FALSE)</f>
        <v>51</v>
      </c>
      <c r="D393" s="1">
        <v>34</v>
      </c>
      <c r="E393" s="1" t="str">
        <f>VLOOKUP(B393,'NOVACART DATA'!$B$2:$M$1001,5,FALSE)</f>
        <v>Email</v>
      </c>
      <c r="F393" s="1">
        <v>1</v>
      </c>
      <c r="G393" s="1">
        <v>58.26</v>
      </c>
      <c r="H393" s="1">
        <v>25</v>
      </c>
      <c r="I393" s="17">
        <f t="shared" si="6"/>
        <v>43.695</v>
      </c>
      <c r="J393" s="1">
        <f>VLOOKUP(B393,'NOVACART DATA'!$B$2:$N$1001,13,FALSE)</f>
        <v>0</v>
      </c>
    </row>
    <row r="394" spans="1:10">
      <c r="A394" s="2">
        <f>VLOOKUP(B394,CHOOSE({1,2},'NOVACART DATA'!$B$2:$B$1001,'NOVACART DATA'!$A$2:$A$1001),2,FALSE)</f>
        <v>45952</v>
      </c>
      <c r="B394" s="1">
        <v>1041</v>
      </c>
      <c r="C394" s="1">
        <f>VLOOKUP(B394,'NOVACART DATA'!$B$2:$C$1000,2,FALSE)</f>
        <v>53</v>
      </c>
      <c r="D394" s="1">
        <v>1</v>
      </c>
      <c r="E394" s="1" t="str">
        <f>VLOOKUP(B394,'NOVACART DATA'!$B$2:$M$1001,5,FALSE)</f>
        <v>Paid Search</v>
      </c>
      <c r="F394" s="1">
        <v>1</v>
      </c>
      <c r="G394" s="1">
        <v>47.45</v>
      </c>
      <c r="H394" s="1">
        <v>0</v>
      </c>
      <c r="I394" s="17">
        <f t="shared" si="6"/>
        <v>47.45</v>
      </c>
      <c r="J394" s="1">
        <f>VLOOKUP(B394,'NOVACART DATA'!$B$2:$N$1001,13,FALSE)</f>
        <v>0</v>
      </c>
    </row>
    <row r="395" spans="1:10">
      <c r="A395" s="2">
        <f>VLOOKUP(B395,CHOOSE({1,2},'NOVACART DATA'!$B$2:$B$1001,'NOVACART DATA'!$A$2:$A$1001),2,FALSE)</f>
        <v>45952</v>
      </c>
      <c r="B395" s="1">
        <v>1041</v>
      </c>
      <c r="C395" s="1">
        <f>VLOOKUP(B395,'NOVACART DATA'!$B$2:$C$1000,2,FALSE)</f>
        <v>53</v>
      </c>
      <c r="D395" s="1">
        <v>38</v>
      </c>
      <c r="E395" s="1" t="str">
        <f>VLOOKUP(B395,'NOVACART DATA'!$B$2:$M$1001,5,FALSE)</f>
        <v>Paid Search</v>
      </c>
      <c r="F395" s="1">
        <v>1</v>
      </c>
      <c r="G395" s="1">
        <v>25.14</v>
      </c>
      <c r="H395" s="1">
        <v>5</v>
      </c>
      <c r="I395" s="17">
        <f t="shared" si="6"/>
        <v>23.882999999999999</v>
      </c>
      <c r="J395" s="1">
        <f>VLOOKUP(B395,'NOVACART DATA'!$B$2:$N$1001,13,FALSE)</f>
        <v>0</v>
      </c>
    </row>
    <row r="396" spans="1:10">
      <c r="A396" s="2">
        <f>VLOOKUP(B396,CHOOSE({1,2},'NOVACART DATA'!$B$2:$B$1001,'NOVACART DATA'!$A$2:$A$1001),2,FALSE)</f>
        <v>45668</v>
      </c>
      <c r="B396" s="1">
        <v>1066</v>
      </c>
      <c r="C396" s="1">
        <f>VLOOKUP(B396,'NOVACART DATA'!$B$2:$C$1000,2,FALSE)</f>
        <v>53</v>
      </c>
      <c r="D396" s="1">
        <v>37</v>
      </c>
      <c r="E396" s="1" t="str">
        <f>VLOOKUP(B396,'NOVACART DATA'!$B$2:$M$1001,5,FALSE)</f>
        <v>Paid Search</v>
      </c>
      <c r="F396" s="1">
        <v>1</v>
      </c>
      <c r="G396" s="1">
        <v>52.67</v>
      </c>
      <c r="H396" s="1">
        <v>10</v>
      </c>
      <c r="I396" s="17">
        <f t="shared" si="6"/>
        <v>47.403000000000006</v>
      </c>
      <c r="J396" s="1">
        <f>VLOOKUP(B396,'NOVACART DATA'!$B$2:$N$1001,13,FALSE)</f>
        <v>0</v>
      </c>
    </row>
    <row r="397" spans="1:10">
      <c r="A397" s="2">
        <f>VLOOKUP(B397,CHOOSE({1,2},'NOVACART DATA'!$B$2:$B$1001,'NOVACART DATA'!$A$2:$A$1001),2,FALSE)</f>
        <v>45727</v>
      </c>
      <c r="B397" s="1">
        <v>1073</v>
      </c>
      <c r="C397" s="1">
        <f>VLOOKUP(B397,'NOVACART DATA'!$B$2:$C$1000,2,FALSE)</f>
        <v>53</v>
      </c>
      <c r="D397" s="1">
        <v>39</v>
      </c>
      <c r="E397" s="1" t="str">
        <f>VLOOKUP(B397,'NOVACART DATA'!$B$2:$M$1001,5,FALSE)</f>
        <v>Paid Search</v>
      </c>
      <c r="F397" s="1">
        <v>1</v>
      </c>
      <c r="G397" s="1">
        <v>39.979999999999997</v>
      </c>
      <c r="H397" s="1">
        <v>20</v>
      </c>
      <c r="I397" s="17">
        <f t="shared" si="6"/>
        <v>31.983999999999998</v>
      </c>
      <c r="J397" s="1">
        <f>VLOOKUP(B397,'NOVACART DATA'!$B$2:$N$1001,13,FALSE)</f>
        <v>0</v>
      </c>
    </row>
    <row r="398" spans="1:10">
      <c r="A398" s="2">
        <f>VLOOKUP(B398,CHOOSE({1,2},'NOVACART DATA'!$B$2:$B$1001,'NOVACART DATA'!$A$2:$A$1001),2,FALSE)</f>
        <v>45758</v>
      </c>
      <c r="B398" s="1">
        <v>1077</v>
      </c>
      <c r="C398" s="1">
        <f>VLOOKUP(B398,'NOVACART DATA'!$B$2:$C$1000,2,FALSE)</f>
        <v>53</v>
      </c>
      <c r="D398" s="1">
        <v>40</v>
      </c>
      <c r="E398" s="1" t="str">
        <f>VLOOKUP(B398,'NOVACART DATA'!$B$2:$M$1001,5,FALSE)</f>
        <v>Paid Search</v>
      </c>
      <c r="F398" s="1">
        <v>3</v>
      </c>
      <c r="G398" s="1">
        <v>47.25</v>
      </c>
      <c r="H398" s="1">
        <v>0</v>
      </c>
      <c r="I398" s="17">
        <f t="shared" si="6"/>
        <v>141.75</v>
      </c>
      <c r="J398" s="1">
        <f>VLOOKUP(B398,'NOVACART DATA'!$B$2:$N$1001,13,FALSE)</f>
        <v>0</v>
      </c>
    </row>
    <row r="399" spans="1:10">
      <c r="A399" s="2">
        <f>VLOOKUP(B399,CHOOSE({1,2},'NOVACART DATA'!$B$2:$B$1001,'NOVACART DATA'!$A$2:$A$1001),2,FALSE)</f>
        <v>45758</v>
      </c>
      <c r="B399" s="1">
        <v>1077</v>
      </c>
      <c r="C399" s="1">
        <f>VLOOKUP(B399,'NOVACART DATA'!$B$2:$C$1000,2,FALSE)</f>
        <v>53</v>
      </c>
      <c r="D399" s="1">
        <v>11</v>
      </c>
      <c r="E399" s="1" t="str">
        <f>VLOOKUP(B399,'NOVACART DATA'!$B$2:$M$1001,5,FALSE)</f>
        <v>Paid Search</v>
      </c>
      <c r="F399" s="1">
        <v>2</v>
      </c>
      <c r="G399" s="1">
        <v>58.35</v>
      </c>
      <c r="H399" s="1">
        <v>0</v>
      </c>
      <c r="I399" s="17">
        <f t="shared" si="6"/>
        <v>116.7</v>
      </c>
      <c r="J399" s="1">
        <f>VLOOKUP(B399,'NOVACART DATA'!$B$2:$N$1001,13,FALSE)</f>
        <v>0</v>
      </c>
    </row>
    <row r="400" spans="1:10">
      <c r="A400" s="2">
        <f>VLOOKUP(B400,CHOOSE({1,2},'NOVACART DATA'!$B$2:$B$1001,'NOVACART DATA'!$A$2:$A$1001),2,FALSE)</f>
        <v>45985</v>
      </c>
      <c r="B400" s="1">
        <v>1044</v>
      </c>
      <c r="C400" s="1">
        <f>VLOOKUP(B400,'NOVACART DATA'!$B$2:$C$1000,2,FALSE)</f>
        <v>5</v>
      </c>
      <c r="D400" s="1">
        <v>4</v>
      </c>
      <c r="E400" s="1" t="str">
        <f>VLOOKUP(B400,'NOVACART DATA'!$B$2:$M$1001,5,FALSE)</f>
        <v>Email</v>
      </c>
      <c r="F400" s="1">
        <v>1</v>
      </c>
      <c r="G400" s="1">
        <v>34.83</v>
      </c>
      <c r="H400" s="1">
        <v>10</v>
      </c>
      <c r="I400" s="17">
        <f t="shared" si="6"/>
        <v>31.346999999999998</v>
      </c>
      <c r="J400" s="1">
        <f>VLOOKUP(B400,'NOVACART DATA'!$B$2:$N$1001,13,FALSE)</f>
        <v>0</v>
      </c>
    </row>
    <row r="401" spans="1:10">
      <c r="A401" s="2">
        <f>VLOOKUP(B401,CHOOSE({1,2},'NOVACART DATA'!$B$2:$B$1001,'NOVACART DATA'!$A$2:$A$1001),2,FALSE)</f>
        <v>45941</v>
      </c>
      <c r="B401" s="1">
        <v>1104</v>
      </c>
      <c r="C401" s="1">
        <f>VLOOKUP(B401,'NOVACART DATA'!$B$2:$C$1000,2,FALSE)</f>
        <v>53</v>
      </c>
      <c r="D401" s="1">
        <v>27</v>
      </c>
      <c r="E401" s="1" t="str">
        <f>VLOOKUP(B401,'NOVACART DATA'!$B$2:$M$1001,5,FALSE)</f>
        <v>Paid Search</v>
      </c>
      <c r="F401" s="1">
        <v>1</v>
      </c>
      <c r="G401" s="1">
        <v>27.3</v>
      </c>
      <c r="H401" s="1">
        <v>5</v>
      </c>
      <c r="I401" s="17">
        <f t="shared" si="6"/>
        <v>25.934999999999999</v>
      </c>
      <c r="J401" s="1">
        <f>VLOOKUP(B401,'NOVACART DATA'!$B$2:$N$1001,13,FALSE)</f>
        <v>0</v>
      </c>
    </row>
    <row r="402" spans="1:10">
      <c r="A402" s="2">
        <f>VLOOKUP(B402,CHOOSE({1,2},'NOVACART DATA'!$B$2:$B$1001,'NOVACART DATA'!$A$2:$A$1001),2,FALSE)</f>
        <v>45941</v>
      </c>
      <c r="B402" s="1">
        <v>1104</v>
      </c>
      <c r="C402" s="1">
        <f>VLOOKUP(B402,'NOVACART DATA'!$B$2:$C$1000,2,FALSE)</f>
        <v>53</v>
      </c>
      <c r="D402" s="1">
        <v>27</v>
      </c>
      <c r="E402" s="1" t="str">
        <f>VLOOKUP(B402,'NOVACART DATA'!$B$2:$M$1001,5,FALSE)</f>
        <v>Paid Search</v>
      </c>
      <c r="F402" s="1">
        <v>2</v>
      </c>
      <c r="G402" s="1">
        <v>27.3</v>
      </c>
      <c r="H402" s="1">
        <v>10</v>
      </c>
      <c r="I402" s="17">
        <f t="shared" si="6"/>
        <v>49.14</v>
      </c>
      <c r="J402" s="1">
        <f>VLOOKUP(B402,'NOVACART DATA'!$B$2:$N$1001,13,FALSE)</f>
        <v>0</v>
      </c>
    </row>
    <row r="403" spans="1:10">
      <c r="A403" s="2">
        <f>VLOOKUP(B403,CHOOSE({1,2},'NOVACART DATA'!$B$2:$B$1001,'NOVACART DATA'!$A$2:$A$1001),2,FALSE)</f>
        <v>45941</v>
      </c>
      <c r="B403" s="1">
        <v>1104</v>
      </c>
      <c r="C403" s="1">
        <f>VLOOKUP(B403,'NOVACART DATA'!$B$2:$C$1000,2,FALSE)</f>
        <v>53</v>
      </c>
      <c r="D403" s="1">
        <v>13</v>
      </c>
      <c r="E403" s="1" t="str">
        <f>VLOOKUP(B403,'NOVACART DATA'!$B$2:$M$1001,5,FALSE)</f>
        <v>Paid Search</v>
      </c>
      <c r="F403" s="1">
        <v>1</v>
      </c>
      <c r="G403" s="1">
        <v>54.9</v>
      </c>
      <c r="H403" s="1">
        <v>0</v>
      </c>
      <c r="I403" s="17">
        <f t="shared" si="6"/>
        <v>54.9</v>
      </c>
      <c r="J403" s="1">
        <f>VLOOKUP(B403,'NOVACART DATA'!$B$2:$N$1001,13,FALSE)</f>
        <v>0</v>
      </c>
    </row>
    <row r="404" spans="1:10">
      <c r="A404" s="2">
        <f>VLOOKUP(B404,CHOOSE({1,2},'NOVACART DATA'!$B$2:$B$1001,'NOVACART DATA'!$A$2:$A$1001),2,FALSE)</f>
        <v>45975</v>
      </c>
      <c r="B404" s="1">
        <v>1124</v>
      </c>
      <c r="C404" s="1">
        <f>VLOOKUP(B404,'NOVACART DATA'!$B$2:$C$1000,2,FALSE)</f>
        <v>53</v>
      </c>
      <c r="D404" s="1">
        <v>30</v>
      </c>
      <c r="E404" s="1" t="str">
        <f>VLOOKUP(B404,'NOVACART DATA'!$B$2:$M$1001,5,FALSE)</f>
        <v>Paid Search</v>
      </c>
      <c r="F404" s="1">
        <v>1</v>
      </c>
      <c r="G404" s="1">
        <v>41.49</v>
      </c>
      <c r="H404" s="1">
        <v>10</v>
      </c>
      <c r="I404" s="17">
        <f t="shared" si="6"/>
        <v>37.341000000000001</v>
      </c>
      <c r="J404" s="1">
        <f>VLOOKUP(B404,'NOVACART DATA'!$B$2:$N$1001,13,FALSE)</f>
        <v>0</v>
      </c>
    </row>
    <row r="405" spans="1:10">
      <c r="A405" s="2">
        <f>VLOOKUP(B405,CHOOSE({1,2},'NOVACART DATA'!$B$2:$B$1001,'NOVACART DATA'!$A$2:$A$1001),2,FALSE)</f>
        <v>45981</v>
      </c>
      <c r="B405" s="1">
        <v>1156</v>
      </c>
      <c r="C405" s="1">
        <f>VLOOKUP(B405,'NOVACART DATA'!$B$2:$C$1000,2,FALSE)</f>
        <v>53</v>
      </c>
      <c r="D405" s="1">
        <v>35</v>
      </c>
      <c r="E405" s="1" t="str">
        <f>VLOOKUP(B405,'NOVACART DATA'!$B$2:$M$1001,5,FALSE)</f>
        <v>Paid Search</v>
      </c>
      <c r="F405" s="1">
        <v>2</v>
      </c>
      <c r="G405" s="1">
        <v>11.3</v>
      </c>
      <c r="H405" s="1">
        <v>0</v>
      </c>
      <c r="I405" s="17">
        <f t="shared" si="6"/>
        <v>22.6</v>
      </c>
      <c r="J405" s="1">
        <f>VLOOKUP(B405,'NOVACART DATA'!$B$2:$N$1001,13,FALSE)</f>
        <v>0</v>
      </c>
    </row>
    <row r="406" spans="1:10">
      <c r="A406" s="2">
        <f>VLOOKUP(B406,CHOOSE({1,2},'NOVACART DATA'!$B$2:$B$1001,'NOVACART DATA'!$A$2:$A$1001),2,FALSE)</f>
        <v>45669</v>
      </c>
      <c r="B406" s="1">
        <v>1208</v>
      </c>
      <c r="C406" s="1">
        <f>VLOOKUP(B406,'NOVACART DATA'!$B$2:$C$1000,2,FALSE)</f>
        <v>53</v>
      </c>
      <c r="D406" s="1">
        <v>37</v>
      </c>
      <c r="E406" s="1" t="str">
        <f>VLOOKUP(B406,'NOVACART DATA'!$B$2:$M$1001,5,FALSE)</f>
        <v>Paid Search</v>
      </c>
      <c r="F406" s="1">
        <v>1</v>
      </c>
      <c r="G406" s="1">
        <v>52.67</v>
      </c>
      <c r="H406" s="1">
        <v>10</v>
      </c>
      <c r="I406" s="17">
        <f t="shared" si="6"/>
        <v>47.403000000000006</v>
      </c>
      <c r="J406" s="1">
        <f>VLOOKUP(B406,'NOVACART DATA'!$B$2:$N$1001,13,FALSE)</f>
        <v>0</v>
      </c>
    </row>
    <row r="407" spans="1:10">
      <c r="A407" s="2">
        <f>VLOOKUP(B407,CHOOSE({1,2},'NOVACART DATA'!$B$2:$B$1001,'NOVACART DATA'!$A$2:$A$1001),2,FALSE)</f>
        <v>46010</v>
      </c>
      <c r="B407" s="1">
        <v>1298</v>
      </c>
      <c r="C407" s="1">
        <f>VLOOKUP(B407,'NOVACART DATA'!$B$2:$C$1000,2,FALSE)</f>
        <v>53</v>
      </c>
      <c r="D407" s="1">
        <v>19</v>
      </c>
      <c r="E407" s="1" t="str">
        <f>VLOOKUP(B407,'NOVACART DATA'!$B$2:$M$1001,5,FALSE)</f>
        <v>Paid Search</v>
      </c>
      <c r="F407" s="1">
        <v>1</v>
      </c>
      <c r="G407" s="1">
        <v>50.14</v>
      </c>
      <c r="H407" s="1">
        <v>0</v>
      </c>
      <c r="I407" s="17">
        <f t="shared" si="6"/>
        <v>50.14</v>
      </c>
      <c r="J407" s="1">
        <f>VLOOKUP(B407,'NOVACART DATA'!$B$2:$N$1001,13,FALSE)</f>
        <v>0</v>
      </c>
    </row>
    <row r="408" spans="1:10">
      <c r="A408" s="2">
        <f>VLOOKUP(B408,CHOOSE({1,2},'NOVACART DATA'!$B$2:$B$1001,'NOVACART DATA'!$A$2:$A$1001),2,FALSE)</f>
        <v>46036</v>
      </c>
      <c r="B408" s="1">
        <v>1403</v>
      </c>
      <c r="C408" s="1">
        <f>VLOOKUP(B408,'NOVACART DATA'!$B$2:$C$1000,2,FALSE)</f>
        <v>53</v>
      </c>
      <c r="D408" s="1">
        <v>22</v>
      </c>
      <c r="E408" s="1" t="str">
        <f>VLOOKUP(B408,'NOVACART DATA'!$B$2:$M$1001,5,FALSE)</f>
        <v>Paid Search</v>
      </c>
      <c r="F408" s="1">
        <v>1</v>
      </c>
      <c r="G408" s="1">
        <v>29.98</v>
      </c>
      <c r="H408" s="1">
        <v>0</v>
      </c>
      <c r="I408" s="17">
        <f t="shared" si="6"/>
        <v>29.98</v>
      </c>
      <c r="J408" s="1">
        <f>VLOOKUP(B408,'NOVACART DATA'!$B$2:$N$1001,13,FALSE)</f>
        <v>1</v>
      </c>
    </row>
    <row r="409" spans="1:10">
      <c r="A409" s="2">
        <f>VLOOKUP(B409,CHOOSE({1,2},'NOVACART DATA'!$B$2:$B$1001,'NOVACART DATA'!$A$2:$A$1001),2,FALSE)</f>
        <v>46046</v>
      </c>
      <c r="B409" s="1">
        <v>1428</v>
      </c>
      <c r="C409" s="1">
        <f>VLOOKUP(B409,'NOVACART DATA'!$B$2:$C$1000,2,FALSE)</f>
        <v>53</v>
      </c>
      <c r="D409" s="1">
        <v>37</v>
      </c>
      <c r="E409" s="1" t="str">
        <f>VLOOKUP(B409,'NOVACART DATA'!$B$2:$M$1001,5,FALSE)</f>
        <v>Paid Search</v>
      </c>
      <c r="F409" s="1">
        <v>1</v>
      </c>
      <c r="G409" s="1">
        <v>52.67</v>
      </c>
      <c r="H409" s="1">
        <v>10</v>
      </c>
      <c r="I409" s="17">
        <f t="shared" si="6"/>
        <v>47.403000000000006</v>
      </c>
      <c r="J409" s="1">
        <f>VLOOKUP(B409,'NOVACART DATA'!$B$2:$N$1001,13,FALSE)</f>
        <v>0</v>
      </c>
    </row>
    <row r="410" spans="1:10">
      <c r="A410" s="2">
        <f>VLOOKUP(B410,CHOOSE({1,2},'NOVACART DATA'!$B$2:$B$1001,'NOVACART DATA'!$A$2:$A$1001),2,FALSE)</f>
        <v>46073</v>
      </c>
      <c r="B410" s="1">
        <v>1507</v>
      </c>
      <c r="C410" s="1">
        <f>VLOOKUP(B410,'NOVACART DATA'!$B$2:$C$1000,2,FALSE)</f>
        <v>53</v>
      </c>
      <c r="D410" s="1">
        <v>23</v>
      </c>
      <c r="E410" s="1" t="str">
        <f>VLOOKUP(B410,'NOVACART DATA'!$B$2:$M$1001,5,FALSE)</f>
        <v>Paid Search</v>
      </c>
      <c r="F410" s="1">
        <v>2</v>
      </c>
      <c r="G410" s="1">
        <v>38.14</v>
      </c>
      <c r="H410" s="1">
        <v>0</v>
      </c>
      <c r="I410" s="17">
        <f t="shared" si="6"/>
        <v>76.28</v>
      </c>
      <c r="J410" s="1">
        <f>VLOOKUP(B410,'NOVACART DATA'!$B$2:$N$1001,13,FALSE)</f>
        <v>0</v>
      </c>
    </row>
    <row r="411" spans="1:10">
      <c r="A411" s="2">
        <f>VLOOKUP(B411,CHOOSE({1,2},'NOVACART DATA'!$B$2:$B$1001,'NOVACART DATA'!$A$2:$A$1001),2,FALSE)</f>
        <v>45952</v>
      </c>
      <c r="B411" s="1">
        <v>1042</v>
      </c>
      <c r="C411" s="1">
        <f>VLOOKUP(B411,'NOVACART DATA'!$B$2:$C$1000,2,FALSE)</f>
        <v>54</v>
      </c>
      <c r="D411" s="1">
        <v>8</v>
      </c>
      <c r="E411" s="1" t="str">
        <f>VLOOKUP(B411,'NOVACART DATA'!$B$2:$M$1001,5,FALSE)</f>
        <v>Referral</v>
      </c>
      <c r="F411" s="1">
        <v>1</v>
      </c>
      <c r="G411" s="1">
        <v>16.72</v>
      </c>
      <c r="H411" s="1">
        <v>0</v>
      </c>
      <c r="I411" s="17">
        <f t="shared" si="6"/>
        <v>16.72</v>
      </c>
      <c r="J411" s="1">
        <f>VLOOKUP(B411,'NOVACART DATA'!$B$2:$N$1001,13,FALSE)</f>
        <v>0</v>
      </c>
    </row>
    <row r="412" spans="1:10">
      <c r="A412" s="2">
        <f>VLOOKUP(B412,CHOOSE({1,2},'NOVACART DATA'!$B$2:$B$1001,'NOVACART DATA'!$A$2:$A$1001),2,FALSE)</f>
        <v>45972</v>
      </c>
      <c r="B412" s="1">
        <v>1112</v>
      </c>
      <c r="C412" s="1">
        <f>VLOOKUP(B412,'NOVACART DATA'!$B$2:$C$1000,2,FALSE)</f>
        <v>54</v>
      </c>
      <c r="D412" s="1">
        <v>35</v>
      </c>
      <c r="E412" s="1" t="str">
        <f>VLOOKUP(B412,'NOVACART DATA'!$B$2:$M$1001,5,FALSE)</f>
        <v>Referral</v>
      </c>
      <c r="F412" s="1">
        <v>1</v>
      </c>
      <c r="G412" s="1">
        <v>11.3</v>
      </c>
      <c r="H412" s="1">
        <v>0</v>
      </c>
      <c r="I412" s="17">
        <f t="shared" si="6"/>
        <v>11.3</v>
      </c>
      <c r="J412" s="1">
        <f>VLOOKUP(B412,'NOVACART DATA'!$B$2:$N$1001,13,FALSE)</f>
        <v>0</v>
      </c>
    </row>
    <row r="413" spans="1:10">
      <c r="A413" s="2">
        <f>VLOOKUP(B413,CHOOSE({1,2},'NOVACART DATA'!$B$2:$B$1001,'NOVACART DATA'!$A$2:$A$1001),2,FALSE)</f>
        <v>45972</v>
      </c>
      <c r="B413" s="1">
        <v>1112</v>
      </c>
      <c r="C413" s="1">
        <f>VLOOKUP(B413,'NOVACART DATA'!$B$2:$C$1000,2,FALSE)</f>
        <v>54</v>
      </c>
      <c r="D413" s="1">
        <v>14</v>
      </c>
      <c r="E413" s="1" t="str">
        <f>VLOOKUP(B413,'NOVACART DATA'!$B$2:$M$1001,5,FALSE)</f>
        <v>Referral</v>
      </c>
      <c r="F413" s="1">
        <v>1</v>
      </c>
      <c r="G413" s="1">
        <v>15.36</v>
      </c>
      <c r="H413" s="1">
        <v>0</v>
      </c>
      <c r="I413" s="17">
        <f t="shared" si="6"/>
        <v>15.36</v>
      </c>
      <c r="J413" s="1">
        <f>VLOOKUP(B413,'NOVACART DATA'!$B$2:$N$1001,13,FALSE)</f>
        <v>0</v>
      </c>
    </row>
    <row r="414" spans="1:10">
      <c r="A414" s="2">
        <f>VLOOKUP(B414,CHOOSE({1,2},'NOVACART DATA'!$B$2:$B$1001,'NOVACART DATA'!$A$2:$A$1001),2,FALSE)</f>
        <v>45980</v>
      </c>
      <c r="B414" s="1">
        <v>1152</v>
      </c>
      <c r="C414" s="1">
        <f>VLOOKUP(B414,'NOVACART DATA'!$B$2:$C$1000,2,FALSE)</f>
        <v>54</v>
      </c>
      <c r="D414" s="1">
        <v>27</v>
      </c>
      <c r="E414" s="1" t="str">
        <f>VLOOKUP(B414,'NOVACART DATA'!$B$2:$M$1001,5,FALSE)</f>
        <v>Referral</v>
      </c>
      <c r="F414" s="1">
        <v>3</v>
      </c>
      <c r="G414" s="1">
        <v>27.3</v>
      </c>
      <c r="H414" s="1">
        <v>0</v>
      </c>
      <c r="I414" s="17">
        <f t="shared" si="6"/>
        <v>81.900000000000006</v>
      </c>
      <c r="J414" s="1">
        <f>VLOOKUP(B414,'NOVACART DATA'!$B$2:$N$1001,13,FALSE)</f>
        <v>0</v>
      </c>
    </row>
    <row r="415" spans="1:10">
      <c r="A415" s="2">
        <f>VLOOKUP(B415,CHOOSE({1,2},'NOVACART DATA'!$B$2:$B$1001,'NOVACART DATA'!$A$2:$A$1001),2,FALSE)</f>
        <v>45789</v>
      </c>
      <c r="B415" s="1">
        <v>1226</v>
      </c>
      <c r="C415" s="1">
        <f>VLOOKUP(B415,'NOVACART DATA'!$B$2:$C$1000,2,FALSE)</f>
        <v>54</v>
      </c>
      <c r="D415" s="1">
        <v>32</v>
      </c>
      <c r="E415" s="1" t="str">
        <f>VLOOKUP(B415,'NOVACART DATA'!$B$2:$M$1001,5,FALSE)</f>
        <v>Referral</v>
      </c>
      <c r="F415" s="1">
        <v>2</v>
      </c>
      <c r="G415" s="1">
        <v>61.06</v>
      </c>
      <c r="H415" s="1">
        <v>0</v>
      </c>
      <c r="I415" s="17">
        <f t="shared" si="6"/>
        <v>122.12</v>
      </c>
      <c r="J415" s="1">
        <f>VLOOKUP(B415,'NOVACART DATA'!$B$2:$N$1001,13,FALSE)</f>
        <v>0</v>
      </c>
    </row>
    <row r="416" spans="1:10">
      <c r="A416" s="2">
        <f>VLOOKUP(B416,CHOOSE({1,2},'NOVACART DATA'!$B$2:$B$1001,'NOVACART DATA'!$A$2:$A$1001),2,FALSE)</f>
        <v>45789</v>
      </c>
      <c r="B416" s="1">
        <v>1226</v>
      </c>
      <c r="C416" s="1">
        <f>VLOOKUP(B416,'NOVACART DATA'!$B$2:$C$1000,2,FALSE)</f>
        <v>54</v>
      </c>
      <c r="D416" s="1">
        <v>35</v>
      </c>
      <c r="E416" s="1" t="str">
        <f>VLOOKUP(B416,'NOVACART DATA'!$B$2:$M$1001,5,FALSE)</f>
        <v>Referral</v>
      </c>
      <c r="F416" s="1">
        <v>2</v>
      </c>
      <c r="G416" s="1">
        <v>11.3</v>
      </c>
      <c r="H416" s="1">
        <v>0</v>
      </c>
      <c r="I416" s="17">
        <f t="shared" si="6"/>
        <v>22.6</v>
      </c>
      <c r="J416" s="1">
        <f>VLOOKUP(B416,'NOVACART DATA'!$B$2:$N$1001,13,FALSE)</f>
        <v>0</v>
      </c>
    </row>
    <row r="417" spans="1:10">
      <c r="A417" s="2">
        <f>VLOOKUP(B417,CHOOSE({1,2},'NOVACART DATA'!$B$2:$B$1001,'NOVACART DATA'!$A$2:$A$1001),2,FALSE)</f>
        <v>45985</v>
      </c>
      <c r="B417" s="1">
        <v>1044</v>
      </c>
      <c r="C417" s="1">
        <f>VLOOKUP(B417,'NOVACART DATA'!$B$2:$C$1000,2,FALSE)</f>
        <v>5</v>
      </c>
      <c r="D417" s="1">
        <v>23</v>
      </c>
      <c r="E417" s="1" t="str">
        <f>VLOOKUP(B417,'NOVACART DATA'!$B$2:$M$1001,5,FALSE)</f>
        <v>Email</v>
      </c>
      <c r="F417" s="1">
        <v>1</v>
      </c>
      <c r="G417" s="1">
        <v>38.14</v>
      </c>
      <c r="H417" s="1">
        <v>25</v>
      </c>
      <c r="I417" s="17">
        <f t="shared" si="6"/>
        <v>28.605</v>
      </c>
      <c r="J417" s="1">
        <f>VLOOKUP(B417,'NOVACART DATA'!$B$2:$N$1001,13,FALSE)</f>
        <v>0</v>
      </c>
    </row>
    <row r="418" spans="1:10">
      <c r="A418" s="2">
        <f>VLOOKUP(B418,CHOOSE({1,2},'NOVACART DATA'!$B$2:$B$1001,'NOVACART DATA'!$A$2:$A$1001),2,FALSE)</f>
        <v>46043</v>
      </c>
      <c r="B418" s="1">
        <v>1419</v>
      </c>
      <c r="C418" s="1">
        <f>VLOOKUP(B418,'NOVACART DATA'!$B$2:$C$1000,2,FALSE)</f>
        <v>54</v>
      </c>
      <c r="D418" s="1">
        <v>6</v>
      </c>
      <c r="E418" s="1" t="str">
        <f>VLOOKUP(B418,'NOVACART DATA'!$B$2:$M$1001,5,FALSE)</f>
        <v>Referral</v>
      </c>
      <c r="F418" s="1">
        <v>1</v>
      </c>
      <c r="G418" s="1">
        <v>70.47</v>
      </c>
      <c r="H418" s="1">
        <v>10</v>
      </c>
      <c r="I418" s="17">
        <f t="shared" si="6"/>
        <v>63.423000000000002</v>
      </c>
      <c r="J418" s="1">
        <f>VLOOKUP(B418,'NOVACART DATA'!$B$2:$N$1001,13,FALSE)</f>
        <v>0</v>
      </c>
    </row>
    <row r="419" spans="1:10">
      <c r="A419" s="2">
        <f>VLOOKUP(B419,CHOOSE({1,2},'NOVACART DATA'!$B$2:$B$1001,'NOVACART DATA'!$A$2:$A$1001),2,FALSE)</f>
        <v>46032</v>
      </c>
      <c r="B419" s="1">
        <v>1386</v>
      </c>
      <c r="C419" s="1">
        <f>VLOOKUP(B419,'NOVACART DATA'!$B$2:$C$1000,2,FALSE)</f>
        <v>56</v>
      </c>
      <c r="D419" s="1">
        <v>5</v>
      </c>
      <c r="E419" s="1" t="str">
        <f>VLOOKUP(B419,'NOVACART DATA'!$B$2:$M$1001,5,FALSE)</f>
        <v>Organic</v>
      </c>
      <c r="F419" s="1">
        <v>2</v>
      </c>
      <c r="G419" s="1">
        <v>42.53</v>
      </c>
      <c r="H419" s="1">
        <v>0</v>
      </c>
      <c r="I419" s="17">
        <f t="shared" si="6"/>
        <v>85.06</v>
      </c>
      <c r="J419" s="1">
        <f>VLOOKUP(B419,'NOVACART DATA'!$B$2:$N$1001,13,FALSE)</f>
        <v>0</v>
      </c>
    </row>
    <row r="420" spans="1:10">
      <c r="A420" s="2">
        <f>VLOOKUP(B420,CHOOSE({1,2},'NOVACART DATA'!$B$2:$B$1001,'NOVACART DATA'!$A$2:$A$1001),2,FALSE)</f>
        <v>46045</v>
      </c>
      <c r="B420" s="1">
        <v>1422</v>
      </c>
      <c r="C420" s="1">
        <f>VLOOKUP(B420,'NOVACART DATA'!$B$2:$C$1000,2,FALSE)</f>
        <v>56</v>
      </c>
      <c r="D420" s="1">
        <v>34</v>
      </c>
      <c r="E420" s="1" t="str">
        <f>VLOOKUP(B420,'NOVACART DATA'!$B$2:$M$1001,5,FALSE)</f>
        <v>Organic</v>
      </c>
      <c r="F420" s="1">
        <v>1</v>
      </c>
      <c r="G420" s="1">
        <v>38.869999999999997</v>
      </c>
      <c r="H420" s="1">
        <v>15</v>
      </c>
      <c r="I420" s="17">
        <f t="shared" si="6"/>
        <v>33.039499999999997</v>
      </c>
      <c r="J420" s="1">
        <f>VLOOKUP(B420,'NOVACART DATA'!$B$2:$N$1001,13,FALSE)</f>
        <v>0</v>
      </c>
    </row>
    <row r="421" spans="1:10">
      <c r="A421" s="2">
        <f>VLOOKUP(B421,CHOOSE({1,2},'NOVACART DATA'!$B$2:$B$1001,'NOVACART DATA'!$A$2:$A$1001),2,FALSE)</f>
        <v>46045</v>
      </c>
      <c r="B421" s="1">
        <v>1422</v>
      </c>
      <c r="C421" s="1">
        <f>VLOOKUP(B421,'NOVACART DATA'!$B$2:$C$1000,2,FALSE)</f>
        <v>56</v>
      </c>
      <c r="D421" s="1">
        <v>4</v>
      </c>
      <c r="E421" s="1" t="str">
        <f>VLOOKUP(B421,'NOVACART DATA'!$B$2:$M$1001,5,FALSE)</f>
        <v>Organic</v>
      </c>
      <c r="F421" s="1">
        <v>1</v>
      </c>
      <c r="G421" s="1">
        <v>34.83</v>
      </c>
      <c r="H421" s="1">
        <v>15</v>
      </c>
      <c r="I421" s="17">
        <f t="shared" si="6"/>
        <v>29.605499999999999</v>
      </c>
      <c r="J421" s="1">
        <f>VLOOKUP(B421,'NOVACART DATA'!$B$2:$N$1001,13,FALSE)</f>
        <v>0</v>
      </c>
    </row>
    <row r="422" spans="1:10">
      <c r="A422" s="2">
        <f>VLOOKUP(B422,CHOOSE({1,2},'NOVACART DATA'!$B$2:$B$1001,'NOVACART DATA'!$A$2:$A$1001),2,FALSE)</f>
        <v>46066</v>
      </c>
      <c r="B422" s="1">
        <v>1483</v>
      </c>
      <c r="C422" s="1">
        <f>VLOOKUP(B422,'NOVACART DATA'!$B$2:$C$1000,2,FALSE)</f>
        <v>56</v>
      </c>
      <c r="D422" s="1">
        <v>9</v>
      </c>
      <c r="E422" s="1" t="str">
        <f>VLOOKUP(B422,'NOVACART DATA'!$B$2:$M$1001,5,FALSE)</f>
        <v>Organic</v>
      </c>
      <c r="F422" s="1">
        <v>2</v>
      </c>
      <c r="G422" s="1">
        <v>20.69</v>
      </c>
      <c r="H422" s="1">
        <v>0</v>
      </c>
      <c r="I422" s="17">
        <f t="shared" si="6"/>
        <v>41.38</v>
      </c>
      <c r="J422" s="1">
        <f>VLOOKUP(B422,'NOVACART DATA'!$B$2:$N$1001,13,FALSE)</f>
        <v>0</v>
      </c>
    </row>
    <row r="423" spans="1:10">
      <c r="A423" s="2">
        <f>VLOOKUP(B423,CHOOSE({1,2},'NOVACART DATA'!$B$2:$B$1001,'NOVACART DATA'!$A$2:$A$1001),2,FALSE)</f>
        <v>46066</v>
      </c>
      <c r="B423" s="1">
        <v>1483</v>
      </c>
      <c r="C423" s="1">
        <f>VLOOKUP(B423,'NOVACART DATA'!$B$2:$C$1000,2,FALSE)</f>
        <v>56</v>
      </c>
      <c r="D423" s="1">
        <v>14</v>
      </c>
      <c r="E423" s="1" t="str">
        <f>VLOOKUP(B423,'NOVACART DATA'!$B$2:$M$1001,5,FALSE)</f>
        <v>Organic</v>
      </c>
      <c r="F423" s="1">
        <v>1</v>
      </c>
      <c r="G423" s="1">
        <v>15.36</v>
      </c>
      <c r="H423" s="1">
        <v>0</v>
      </c>
      <c r="I423" s="17">
        <f t="shared" si="6"/>
        <v>15.36</v>
      </c>
      <c r="J423" s="1">
        <f>VLOOKUP(B423,'NOVACART DATA'!$B$2:$N$1001,13,FALSE)</f>
        <v>0</v>
      </c>
    </row>
    <row r="424" spans="1:10">
      <c r="A424" s="2">
        <f>VLOOKUP(B424,CHOOSE({1,2},'NOVACART DATA'!$B$2:$B$1001,'NOVACART DATA'!$A$2:$A$1001),2,FALSE)</f>
        <v>46066</v>
      </c>
      <c r="B424" s="1">
        <v>1483</v>
      </c>
      <c r="C424" s="1">
        <f>VLOOKUP(B424,'NOVACART DATA'!$B$2:$C$1000,2,FALSE)</f>
        <v>56</v>
      </c>
      <c r="D424" s="1">
        <v>37</v>
      </c>
      <c r="E424" s="1" t="str">
        <f>VLOOKUP(B424,'NOVACART DATA'!$B$2:$M$1001,5,FALSE)</f>
        <v>Organic</v>
      </c>
      <c r="F424" s="1">
        <v>1</v>
      </c>
      <c r="G424" s="1">
        <v>52.67</v>
      </c>
      <c r="H424" s="1">
        <v>0</v>
      </c>
      <c r="I424" s="17">
        <f t="shared" si="6"/>
        <v>52.67</v>
      </c>
      <c r="J424" s="1">
        <f>VLOOKUP(B424,'NOVACART DATA'!$B$2:$N$1001,13,FALSE)</f>
        <v>0</v>
      </c>
    </row>
    <row r="425" spans="1:10">
      <c r="A425" s="2">
        <f>VLOOKUP(B425,CHOOSE({1,2},'NOVACART DATA'!$B$2:$B$1001,'NOVACART DATA'!$A$2:$A$1001),2,FALSE)</f>
        <v>46066</v>
      </c>
      <c r="B425" s="1">
        <v>1483</v>
      </c>
      <c r="C425" s="1">
        <f>VLOOKUP(B425,'NOVACART DATA'!$B$2:$C$1000,2,FALSE)</f>
        <v>56</v>
      </c>
      <c r="D425" s="1">
        <v>20</v>
      </c>
      <c r="E425" s="1" t="str">
        <f>VLOOKUP(B425,'NOVACART DATA'!$B$2:$M$1001,5,FALSE)</f>
        <v>Organic</v>
      </c>
      <c r="F425" s="1">
        <v>1</v>
      </c>
      <c r="G425" s="1">
        <v>32.76</v>
      </c>
      <c r="H425" s="1">
        <v>0</v>
      </c>
      <c r="I425" s="17">
        <f t="shared" si="6"/>
        <v>32.76</v>
      </c>
      <c r="J425" s="1">
        <f>VLOOKUP(B425,'NOVACART DATA'!$B$2:$N$1001,13,FALSE)</f>
        <v>0</v>
      </c>
    </row>
    <row r="426" spans="1:10">
      <c r="A426" s="2">
        <f>VLOOKUP(B426,CHOOSE({1,2},'NOVACART DATA'!$B$2:$B$1001,'NOVACART DATA'!$A$2:$A$1001),2,FALSE)</f>
        <v>45911</v>
      </c>
      <c r="B426" s="1">
        <v>1098</v>
      </c>
      <c r="C426" s="1">
        <f>VLOOKUP(B426,'NOVACART DATA'!$B$2:$C$1000,2,FALSE)</f>
        <v>57</v>
      </c>
      <c r="D426" s="1">
        <v>15</v>
      </c>
      <c r="E426" s="1" t="str">
        <f>VLOOKUP(B426,'NOVACART DATA'!$B$2:$M$1001,5,FALSE)</f>
        <v>Direct</v>
      </c>
      <c r="F426" s="1">
        <v>1</v>
      </c>
      <c r="G426" s="1">
        <v>47.71</v>
      </c>
      <c r="H426" s="1">
        <v>0</v>
      </c>
      <c r="I426" s="17">
        <f t="shared" si="6"/>
        <v>47.71</v>
      </c>
      <c r="J426" s="1">
        <f>VLOOKUP(B426,'NOVACART DATA'!$B$2:$N$1001,13,FALSE)</f>
        <v>0</v>
      </c>
    </row>
    <row r="427" spans="1:10">
      <c r="A427" s="2">
        <f>VLOOKUP(B427,CHOOSE({1,2},'NOVACART DATA'!$B$2:$B$1001,'NOVACART DATA'!$A$2:$A$1001),2,FALSE)</f>
        <v>45911</v>
      </c>
      <c r="B427" s="1">
        <v>1098</v>
      </c>
      <c r="C427" s="1">
        <f>VLOOKUP(B427,'NOVACART DATA'!$B$2:$C$1000,2,FALSE)</f>
        <v>57</v>
      </c>
      <c r="D427" s="1">
        <v>15</v>
      </c>
      <c r="E427" s="1" t="str">
        <f>VLOOKUP(B427,'NOVACART DATA'!$B$2:$M$1001,5,FALSE)</f>
        <v>Direct</v>
      </c>
      <c r="F427" s="1">
        <v>1</v>
      </c>
      <c r="G427" s="1">
        <v>47.71</v>
      </c>
      <c r="H427" s="1">
        <v>0</v>
      </c>
      <c r="I427" s="17">
        <f t="shared" si="6"/>
        <v>47.71</v>
      </c>
      <c r="J427" s="1">
        <f>VLOOKUP(B427,'NOVACART DATA'!$B$2:$N$1001,13,FALSE)</f>
        <v>0</v>
      </c>
    </row>
    <row r="428" spans="1:10">
      <c r="A428" s="2">
        <f>VLOOKUP(B428,CHOOSE({1,2},'NOVACART DATA'!$B$2:$B$1001,'NOVACART DATA'!$A$2:$A$1001),2,FALSE)</f>
        <v>46006</v>
      </c>
      <c r="B428" s="1">
        <v>1282</v>
      </c>
      <c r="C428" s="1">
        <f>VLOOKUP(B428,'NOVACART DATA'!$B$2:$C$1000,2,FALSE)</f>
        <v>58</v>
      </c>
      <c r="D428" s="1">
        <v>27</v>
      </c>
      <c r="E428" s="1" t="str">
        <f>VLOOKUP(B428,'NOVACART DATA'!$B$2:$M$1001,5,FALSE)</f>
        <v>Organic</v>
      </c>
      <c r="F428" s="1">
        <v>1</v>
      </c>
      <c r="G428" s="1">
        <v>27.3</v>
      </c>
      <c r="H428" s="1">
        <v>0</v>
      </c>
      <c r="I428" s="17">
        <f t="shared" si="6"/>
        <v>27.3</v>
      </c>
      <c r="J428" s="1">
        <f>VLOOKUP(B428,'NOVACART DATA'!$B$2:$N$1001,13,FALSE)</f>
        <v>0</v>
      </c>
    </row>
    <row r="429" spans="1:10">
      <c r="A429" s="2">
        <f>VLOOKUP(B429,CHOOSE({1,2},'NOVACART DATA'!$B$2:$B$1001,'NOVACART DATA'!$A$2:$A$1001),2,FALSE)</f>
        <v>46006</v>
      </c>
      <c r="B429" s="1">
        <v>1282</v>
      </c>
      <c r="C429" s="1">
        <f>VLOOKUP(B429,'NOVACART DATA'!$B$2:$C$1000,2,FALSE)</f>
        <v>58</v>
      </c>
      <c r="D429" s="1">
        <v>20</v>
      </c>
      <c r="E429" s="1" t="str">
        <f>VLOOKUP(B429,'NOVACART DATA'!$B$2:$M$1001,5,FALSE)</f>
        <v>Organic</v>
      </c>
      <c r="F429" s="1">
        <v>1</v>
      </c>
      <c r="G429" s="1">
        <v>32.76</v>
      </c>
      <c r="H429" s="1">
        <v>0</v>
      </c>
      <c r="I429" s="17">
        <f t="shared" si="6"/>
        <v>32.76</v>
      </c>
      <c r="J429" s="1">
        <f>VLOOKUP(B429,'NOVACART DATA'!$B$2:$N$1001,13,FALSE)</f>
        <v>0</v>
      </c>
    </row>
    <row r="430" spans="1:10">
      <c r="A430" s="2">
        <f>VLOOKUP(B430,CHOOSE({1,2},'NOVACART DATA'!$B$2:$B$1001,'NOVACART DATA'!$A$2:$A$1001),2,FALSE)</f>
        <v>46006</v>
      </c>
      <c r="B430" s="1">
        <v>1282</v>
      </c>
      <c r="C430" s="1">
        <f>VLOOKUP(B430,'NOVACART DATA'!$B$2:$C$1000,2,FALSE)</f>
        <v>58</v>
      </c>
      <c r="D430" s="1">
        <v>26</v>
      </c>
      <c r="E430" s="1" t="str">
        <f>VLOOKUP(B430,'NOVACART DATA'!$B$2:$M$1001,5,FALSE)</f>
        <v>Organic</v>
      </c>
      <c r="F430" s="1">
        <v>1</v>
      </c>
      <c r="G430" s="1">
        <v>31.76</v>
      </c>
      <c r="H430" s="1">
        <v>0</v>
      </c>
      <c r="I430" s="17">
        <f t="shared" si="6"/>
        <v>31.76</v>
      </c>
      <c r="J430" s="1">
        <f>VLOOKUP(B430,'NOVACART DATA'!$B$2:$N$1001,13,FALSE)</f>
        <v>0</v>
      </c>
    </row>
    <row r="431" spans="1:10">
      <c r="A431" s="2">
        <f>VLOOKUP(B431,CHOOSE({1,2},'NOVACART DATA'!$B$2:$B$1001,'NOVACART DATA'!$A$2:$A$1001),2,FALSE)</f>
        <v>46297</v>
      </c>
      <c r="B431" s="1">
        <v>1470</v>
      </c>
      <c r="C431" s="1">
        <f>VLOOKUP(B431,'NOVACART DATA'!$B$2:$C$1000,2,FALSE)</f>
        <v>58</v>
      </c>
      <c r="D431" s="1">
        <v>24</v>
      </c>
      <c r="E431" s="1" t="str">
        <f>VLOOKUP(B431,'NOVACART DATA'!$B$2:$M$1001,5,FALSE)</f>
        <v>Organic</v>
      </c>
      <c r="F431" s="1">
        <v>1</v>
      </c>
      <c r="G431" s="1">
        <v>43.42</v>
      </c>
      <c r="H431" s="1">
        <v>0</v>
      </c>
      <c r="I431" s="17">
        <f t="shared" si="6"/>
        <v>43.42</v>
      </c>
      <c r="J431" s="1">
        <f>VLOOKUP(B431,'NOVACART DATA'!$B$2:$N$1001,13,FALSE)</f>
        <v>0</v>
      </c>
    </row>
    <row r="432" spans="1:10">
      <c r="A432" s="2">
        <f>VLOOKUP(B432,CHOOSE({1,2},'NOVACART DATA'!$B$2:$B$1001,'NOVACART DATA'!$A$2:$A$1001),2,FALSE)</f>
        <v>46297</v>
      </c>
      <c r="B432" s="1">
        <v>1470</v>
      </c>
      <c r="C432" s="1">
        <f>VLOOKUP(B432,'NOVACART DATA'!$B$2:$C$1000,2,FALSE)</f>
        <v>58</v>
      </c>
      <c r="D432" s="1">
        <v>29</v>
      </c>
      <c r="E432" s="1" t="str">
        <f>VLOOKUP(B432,'NOVACART DATA'!$B$2:$M$1001,5,FALSE)</f>
        <v>Organic</v>
      </c>
      <c r="F432" s="1">
        <v>1</v>
      </c>
      <c r="G432" s="1">
        <v>45.67</v>
      </c>
      <c r="H432" s="1">
        <v>0</v>
      </c>
      <c r="I432" s="17">
        <f t="shared" si="6"/>
        <v>45.67</v>
      </c>
      <c r="J432" s="1">
        <f>VLOOKUP(B432,'NOVACART DATA'!$B$2:$N$1001,13,FALSE)</f>
        <v>0</v>
      </c>
    </row>
    <row r="433" spans="1:10">
      <c r="A433" s="2">
        <f>VLOOKUP(B433,CHOOSE({1,2},'NOVACART DATA'!$B$2:$B$1001,'NOVACART DATA'!$A$2:$A$1001),2,FALSE)</f>
        <v>45951</v>
      </c>
      <c r="B433" s="1">
        <v>1039</v>
      </c>
      <c r="C433" s="1">
        <f>VLOOKUP(B433,'NOVACART DATA'!$B$2:$C$1000,2,FALSE)</f>
        <v>59</v>
      </c>
      <c r="D433" s="1">
        <v>5</v>
      </c>
      <c r="E433" s="1" t="str">
        <f>VLOOKUP(B433,'NOVACART DATA'!$B$2:$M$1001,5,FALSE)</f>
        <v>Organic</v>
      </c>
      <c r="F433" s="1">
        <v>2</v>
      </c>
      <c r="G433" s="1">
        <v>42.53</v>
      </c>
      <c r="H433" s="1">
        <v>5</v>
      </c>
      <c r="I433" s="17">
        <f t="shared" si="6"/>
        <v>80.807000000000002</v>
      </c>
      <c r="J433" s="1">
        <f>VLOOKUP(B433,'NOVACART DATA'!$B$2:$N$1001,13,FALSE)</f>
        <v>0</v>
      </c>
    </row>
    <row r="434" spans="1:10">
      <c r="A434" s="2">
        <f>VLOOKUP(B434,CHOOSE({1,2},'NOVACART DATA'!$B$2:$B$1001,'NOVACART DATA'!$A$2:$A$1001),2,FALSE)</f>
        <v>45668</v>
      </c>
      <c r="B434" s="1">
        <v>1067</v>
      </c>
      <c r="C434" s="1">
        <f>VLOOKUP(B434,'NOVACART DATA'!$B$2:$C$1000,2,FALSE)</f>
        <v>59</v>
      </c>
      <c r="D434" s="1">
        <v>36</v>
      </c>
      <c r="E434" s="1" t="str">
        <f>VLOOKUP(B434,'NOVACART DATA'!$B$2:$M$1001,5,FALSE)</f>
        <v>Organic</v>
      </c>
      <c r="F434" s="1">
        <v>2</v>
      </c>
      <c r="G434" s="1">
        <v>23.23</v>
      </c>
      <c r="H434" s="1">
        <v>0</v>
      </c>
      <c r="I434" s="17">
        <f t="shared" si="6"/>
        <v>46.46</v>
      </c>
      <c r="J434" s="1">
        <f>VLOOKUP(B434,'NOVACART DATA'!$B$2:$N$1001,13,FALSE)</f>
        <v>0</v>
      </c>
    </row>
    <row r="435" spans="1:10">
      <c r="A435" s="2">
        <f>VLOOKUP(B435,CHOOSE({1,2},'NOVACART DATA'!$B$2:$B$1001,'NOVACART DATA'!$A$2:$A$1001),2,FALSE)</f>
        <v>45668</v>
      </c>
      <c r="B435" s="1">
        <v>1067</v>
      </c>
      <c r="C435" s="1">
        <f>VLOOKUP(B435,'NOVACART DATA'!$B$2:$C$1000,2,FALSE)</f>
        <v>59</v>
      </c>
      <c r="D435" s="1">
        <v>4</v>
      </c>
      <c r="E435" s="1" t="str">
        <f>VLOOKUP(B435,'NOVACART DATA'!$B$2:$M$1001,5,FALSE)</f>
        <v>Organic</v>
      </c>
      <c r="F435" s="1">
        <v>1</v>
      </c>
      <c r="G435" s="1">
        <v>34.83</v>
      </c>
      <c r="H435" s="1">
        <v>0</v>
      </c>
      <c r="I435" s="17">
        <f t="shared" si="6"/>
        <v>34.83</v>
      </c>
      <c r="J435" s="1">
        <f>VLOOKUP(B435,'NOVACART DATA'!$B$2:$N$1001,13,FALSE)</f>
        <v>0</v>
      </c>
    </row>
    <row r="436" spans="1:10">
      <c r="A436" s="2">
        <f>VLOOKUP(B436,CHOOSE({1,2},'NOVACART DATA'!$B$2:$B$1001,'NOVACART DATA'!$A$2:$A$1001),2,FALSE)</f>
        <v>45668</v>
      </c>
      <c r="B436" s="1">
        <v>1067</v>
      </c>
      <c r="C436" s="1">
        <f>VLOOKUP(B436,'NOVACART DATA'!$B$2:$C$1000,2,FALSE)</f>
        <v>59</v>
      </c>
      <c r="D436" s="1">
        <v>28</v>
      </c>
      <c r="E436" s="1" t="str">
        <f>VLOOKUP(B436,'NOVACART DATA'!$B$2:$M$1001,5,FALSE)</f>
        <v>Organic</v>
      </c>
      <c r="F436" s="1">
        <v>1</v>
      </c>
      <c r="G436" s="1">
        <v>21.24</v>
      </c>
      <c r="H436" s="1">
        <v>0</v>
      </c>
      <c r="I436" s="17">
        <f t="shared" si="6"/>
        <v>21.24</v>
      </c>
      <c r="J436" s="1">
        <f>VLOOKUP(B436,'NOVACART DATA'!$B$2:$N$1001,13,FALSE)</f>
        <v>0</v>
      </c>
    </row>
    <row r="437" spans="1:10">
      <c r="A437" s="2">
        <f>VLOOKUP(B437,CHOOSE({1,2},'NOVACART DATA'!$B$2:$B$1001,'NOVACART DATA'!$A$2:$A$1001),2,FALSE)</f>
        <v>45849</v>
      </c>
      <c r="B437" s="1">
        <v>1088</v>
      </c>
      <c r="C437" s="1">
        <f>VLOOKUP(B437,'NOVACART DATA'!$B$2:$C$1000,2,FALSE)</f>
        <v>59</v>
      </c>
      <c r="D437" s="1">
        <v>4</v>
      </c>
      <c r="E437" s="1" t="str">
        <f>VLOOKUP(B437,'NOVACART DATA'!$B$2:$M$1001,5,FALSE)</f>
        <v>Organic</v>
      </c>
      <c r="F437" s="1">
        <v>1</v>
      </c>
      <c r="G437" s="1">
        <v>34.83</v>
      </c>
      <c r="H437" s="1">
        <v>0</v>
      </c>
      <c r="I437" s="17">
        <f t="shared" si="6"/>
        <v>34.83</v>
      </c>
      <c r="J437" s="1">
        <f>VLOOKUP(B437,'NOVACART DATA'!$B$2:$N$1001,13,FALSE)</f>
        <v>0</v>
      </c>
    </row>
    <row r="438" spans="1:10">
      <c r="A438" s="2">
        <f>VLOOKUP(B438,CHOOSE({1,2},'NOVACART DATA'!$B$2:$B$1001,'NOVACART DATA'!$A$2:$A$1001),2,FALSE)</f>
        <v>45880</v>
      </c>
      <c r="B438" s="1">
        <v>1091</v>
      </c>
      <c r="C438" s="1">
        <f>VLOOKUP(B438,'NOVACART DATA'!$B$2:$C$1000,2,FALSE)</f>
        <v>59</v>
      </c>
      <c r="D438" s="1">
        <v>31</v>
      </c>
      <c r="E438" s="1" t="str">
        <f>VLOOKUP(B438,'NOVACART DATA'!$B$2:$M$1001,5,FALSE)</f>
        <v>Organic</v>
      </c>
      <c r="F438" s="1">
        <v>1</v>
      </c>
      <c r="G438" s="1">
        <v>57.51</v>
      </c>
      <c r="H438" s="1">
        <v>0</v>
      </c>
      <c r="I438" s="17">
        <f t="shared" si="6"/>
        <v>57.51</v>
      </c>
      <c r="J438" s="1">
        <f>VLOOKUP(B438,'NOVACART DATA'!$B$2:$N$1001,13,FALSE)</f>
        <v>0</v>
      </c>
    </row>
    <row r="439" spans="1:10">
      <c r="A439" s="2">
        <f>VLOOKUP(B439,CHOOSE({1,2},'NOVACART DATA'!$B$2:$B$1001,'NOVACART DATA'!$A$2:$A$1001),2,FALSE)</f>
        <v>45976</v>
      </c>
      <c r="B439" s="1">
        <v>1131</v>
      </c>
      <c r="C439" s="1">
        <f>VLOOKUP(B439,'NOVACART DATA'!$B$2:$C$1000,2,FALSE)</f>
        <v>59</v>
      </c>
      <c r="D439" s="1">
        <v>18</v>
      </c>
      <c r="E439" s="1" t="str">
        <f>VLOOKUP(B439,'NOVACART DATA'!$B$2:$M$1001,5,FALSE)</f>
        <v>Organic</v>
      </c>
      <c r="F439" s="1">
        <v>1</v>
      </c>
      <c r="G439" s="1">
        <v>44.01</v>
      </c>
      <c r="H439" s="1">
        <v>5</v>
      </c>
      <c r="I439" s="17">
        <f t="shared" si="6"/>
        <v>41.809499999999993</v>
      </c>
      <c r="J439" s="1">
        <f>VLOOKUP(B439,'NOVACART DATA'!$B$2:$N$1001,13,FALSE)</f>
        <v>0</v>
      </c>
    </row>
    <row r="440" spans="1:10">
      <c r="A440" s="2">
        <f>VLOOKUP(B440,CHOOSE({1,2},'NOVACART DATA'!$B$2:$B$1001,'NOVACART DATA'!$A$2:$A$1001),2,FALSE)</f>
        <v>45988</v>
      </c>
      <c r="B440" s="1">
        <v>1186</v>
      </c>
      <c r="C440" s="1">
        <f>VLOOKUP(B440,'NOVACART DATA'!$B$2:$C$1000,2,FALSE)</f>
        <v>59</v>
      </c>
      <c r="D440" s="1">
        <v>4</v>
      </c>
      <c r="E440" s="1" t="str">
        <f>VLOOKUP(B440,'NOVACART DATA'!$B$2:$M$1001,5,FALSE)</f>
        <v>Organic</v>
      </c>
      <c r="F440" s="1">
        <v>1</v>
      </c>
      <c r="G440" s="1">
        <v>34.83</v>
      </c>
      <c r="H440" s="1">
        <v>5</v>
      </c>
      <c r="I440" s="17">
        <f t="shared" si="6"/>
        <v>33.088499999999996</v>
      </c>
      <c r="J440" s="1">
        <f>VLOOKUP(B440,'NOVACART DATA'!$B$2:$N$1001,13,FALSE)</f>
        <v>0</v>
      </c>
    </row>
    <row r="441" spans="1:10">
      <c r="A441" s="2">
        <f>VLOOKUP(B441,CHOOSE({1,2},'NOVACART DATA'!$B$2:$B$1001,'NOVACART DATA'!$A$2:$A$1001),2,FALSE)</f>
        <v>45988</v>
      </c>
      <c r="B441" s="1">
        <v>1186</v>
      </c>
      <c r="C441" s="1">
        <f>VLOOKUP(B441,'NOVACART DATA'!$B$2:$C$1000,2,FALSE)</f>
        <v>59</v>
      </c>
      <c r="D441" s="1">
        <v>35</v>
      </c>
      <c r="E441" s="1" t="str">
        <f>VLOOKUP(B441,'NOVACART DATA'!$B$2:$M$1001,5,FALSE)</f>
        <v>Organic</v>
      </c>
      <c r="F441" s="1">
        <v>1</v>
      </c>
      <c r="G441" s="1">
        <v>11.3</v>
      </c>
      <c r="H441" s="1">
        <v>5</v>
      </c>
      <c r="I441" s="17">
        <f t="shared" si="6"/>
        <v>10.734999999999999</v>
      </c>
      <c r="J441" s="1">
        <f>VLOOKUP(B441,'NOVACART DATA'!$B$2:$N$1001,13,FALSE)</f>
        <v>0</v>
      </c>
    </row>
    <row r="442" spans="1:10">
      <c r="A442" s="2">
        <f>VLOOKUP(B442,CHOOSE({1,2},'NOVACART DATA'!$B$2:$B$1001,'NOVACART DATA'!$A$2:$A$1001),2,FALSE)</f>
        <v>45991</v>
      </c>
      <c r="B442" s="1">
        <v>1202</v>
      </c>
      <c r="C442" s="1">
        <f>VLOOKUP(B442,'NOVACART DATA'!$B$2:$C$1000,2,FALSE)</f>
        <v>59</v>
      </c>
      <c r="D442" s="1">
        <v>3</v>
      </c>
      <c r="E442" s="1" t="str">
        <f>VLOOKUP(B442,'NOVACART DATA'!$B$2:$M$1001,5,FALSE)</f>
        <v>Organic</v>
      </c>
      <c r="F442" s="1">
        <v>1</v>
      </c>
      <c r="G442" s="1">
        <v>25.47</v>
      </c>
      <c r="H442" s="1">
        <v>0</v>
      </c>
      <c r="I442" s="17">
        <f t="shared" si="6"/>
        <v>25.47</v>
      </c>
      <c r="J442" s="1">
        <f>VLOOKUP(B442,'NOVACART DATA'!$B$2:$N$1001,13,FALSE)</f>
        <v>0</v>
      </c>
    </row>
    <row r="443" spans="1:10">
      <c r="A443" s="2">
        <f>VLOOKUP(B443,CHOOSE({1,2},'NOVACART DATA'!$B$2:$B$1001,'NOVACART DATA'!$A$2:$A$1001),2,FALSE)</f>
        <v>46003</v>
      </c>
      <c r="B443" s="1">
        <v>1265</v>
      </c>
      <c r="C443" s="1">
        <f>VLOOKUP(B443,'NOVACART DATA'!$B$2:$C$1000,2,FALSE)</f>
        <v>59</v>
      </c>
      <c r="D443" s="1">
        <v>35</v>
      </c>
      <c r="E443" s="1" t="str">
        <f>VLOOKUP(B443,'NOVACART DATA'!$B$2:$M$1001,5,FALSE)</f>
        <v>Organic</v>
      </c>
      <c r="F443" s="1">
        <v>1</v>
      </c>
      <c r="G443" s="1">
        <v>11.3</v>
      </c>
      <c r="H443" s="1">
        <v>5</v>
      </c>
      <c r="I443" s="17">
        <f t="shared" si="6"/>
        <v>10.734999999999999</v>
      </c>
      <c r="J443" s="1">
        <f>VLOOKUP(B443,'NOVACART DATA'!$B$2:$N$1001,13,FALSE)</f>
        <v>1</v>
      </c>
    </row>
    <row r="444" spans="1:10">
      <c r="A444" s="2">
        <f>VLOOKUP(B444,CHOOSE({1,2},'NOVACART DATA'!$B$2:$B$1001,'NOVACART DATA'!$A$2:$A$1001),2,FALSE)</f>
        <v>46003</v>
      </c>
      <c r="B444" s="1">
        <v>1265</v>
      </c>
      <c r="C444" s="1">
        <f>VLOOKUP(B444,'NOVACART DATA'!$B$2:$C$1000,2,FALSE)</f>
        <v>59</v>
      </c>
      <c r="D444" s="1">
        <v>3</v>
      </c>
      <c r="E444" s="1" t="str">
        <f>VLOOKUP(B444,'NOVACART DATA'!$B$2:$M$1001,5,FALSE)</f>
        <v>Organic</v>
      </c>
      <c r="F444" s="1">
        <v>1</v>
      </c>
      <c r="G444" s="1">
        <v>25.47</v>
      </c>
      <c r="H444" s="1">
        <v>5</v>
      </c>
      <c r="I444" s="17">
        <f t="shared" si="6"/>
        <v>24.196499999999997</v>
      </c>
      <c r="J444" s="1">
        <f>VLOOKUP(B444,'NOVACART DATA'!$B$2:$N$1001,13,FALSE)</f>
        <v>1</v>
      </c>
    </row>
    <row r="445" spans="1:10">
      <c r="A445" s="2">
        <f>VLOOKUP(B445,CHOOSE({1,2},'NOVACART DATA'!$B$2:$B$1001,'NOVACART DATA'!$A$2:$A$1001),2,FALSE)</f>
        <v>46005</v>
      </c>
      <c r="B445" s="1">
        <v>1277</v>
      </c>
      <c r="C445" s="1">
        <f>VLOOKUP(B445,'NOVACART DATA'!$B$2:$C$1000,2,FALSE)</f>
        <v>59</v>
      </c>
      <c r="D445" s="1">
        <v>30</v>
      </c>
      <c r="E445" s="1" t="str">
        <f>VLOOKUP(B445,'NOVACART DATA'!$B$2:$M$1001,5,FALSE)</f>
        <v>Organic</v>
      </c>
      <c r="F445" s="1">
        <v>1</v>
      </c>
      <c r="G445" s="1">
        <v>38.869999999999997</v>
      </c>
      <c r="H445" s="1">
        <v>10</v>
      </c>
      <c r="I445" s="17">
        <f t="shared" si="6"/>
        <v>34.982999999999997</v>
      </c>
      <c r="J445" s="1">
        <f>VLOOKUP(B445,'NOVACART DATA'!$B$2:$N$1001,13,FALSE)</f>
        <v>1</v>
      </c>
    </row>
    <row r="446" spans="1:10">
      <c r="A446" s="2">
        <f>VLOOKUP(B446,CHOOSE({1,2},'NOVACART DATA'!$B$2:$B$1001,'NOVACART DATA'!$A$2:$A$1001),2,FALSE)</f>
        <v>45985</v>
      </c>
      <c r="B446" s="1">
        <v>1044</v>
      </c>
      <c r="C446" s="1">
        <f>VLOOKUP(B446,'NOVACART DATA'!$B$2:$C$1000,2,FALSE)</f>
        <v>5</v>
      </c>
      <c r="D446" s="1">
        <v>33</v>
      </c>
      <c r="E446" s="1" t="str">
        <f>VLOOKUP(B446,'NOVACART DATA'!$B$2:$M$1001,5,FALSE)</f>
        <v>Email</v>
      </c>
      <c r="F446" s="1">
        <v>1</v>
      </c>
      <c r="G446" s="1">
        <v>40.94</v>
      </c>
      <c r="H446" s="1">
        <v>15</v>
      </c>
      <c r="I446" s="17">
        <f t="shared" si="6"/>
        <v>34.798999999999999</v>
      </c>
      <c r="J446" s="1">
        <f>VLOOKUP(B446,'NOVACART DATA'!$B$2:$N$1001,13,FALSE)</f>
        <v>0</v>
      </c>
    </row>
    <row r="447" spans="1:10">
      <c r="A447" s="2">
        <f>VLOOKUP(B447,CHOOSE({1,2},'NOVACART DATA'!$B$2:$B$1001,'NOVACART DATA'!$A$2:$A$1001),2,FALSE)</f>
        <v>46205</v>
      </c>
      <c r="B447" s="1">
        <v>1460</v>
      </c>
      <c r="C447" s="1">
        <f>VLOOKUP(B447,'NOVACART DATA'!$B$2:$C$1000,2,FALSE)</f>
        <v>59</v>
      </c>
      <c r="D447" s="1">
        <v>12</v>
      </c>
      <c r="E447" s="1" t="str">
        <f>VLOOKUP(B447,'NOVACART DATA'!$B$2:$M$1001,5,FALSE)</f>
        <v>Organic</v>
      </c>
      <c r="F447" s="1">
        <v>2</v>
      </c>
      <c r="G447" s="1">
        <v>8.4499999999999993</v>
      </c>
      <c r="H447" s="1">
        <v>0</v>
      </c>
      <c r="I447" s="17">
        <f t="shared" si="6"/>
        <v>16.899999999999999</v>
      </c>
      <c r="J447" s="1">
        <f>VLOOKUP(B447,'NOVACART DATA'!$B$2:$N$1001,13,FALSE)</f>
        <v>0</v>
      </c>
    </row>
    <row r="448" spans="1:10">
      <c r="A448" s="2">
        <f>VLOOKUP(B448,CHOOSE({1,2},'NOVACART DATA'!$B$2:$B$1001,'NOVACART DATA'!$A$2:$A$1001),2,FALSE)</f>
        <v>46205</v>
      </c>
      <c r="B448" s="1">
        <v>1460</v>
      </c>
      <c r="C448" s="1">
        <f>VLOOKUP(B448,'NOVACART DATA'!$B$2:$C$1000,2,FALSE)</f>
        <v>59</v>
      </c>
      <c r="D448" s="1">
        <v>34</v>
      </c>
      <c r="E448" s="1" t="str">
        <f>VLOOKUP(B448,'NOVACART DATA'!$B$2:$M$1001,5,FALSE)</f>
        <v>Organic</v>
      </c>
      <c r="F448" s="1">
        <v>1</v>
      </c>
      <c r="G448" s="1">
        <v>58.26</v>
      </c>
      <c r="H448" s="1">
        <v>0</v>
      </c>
      <c r="I448" s="17">
        <f t="shared" si="6"/>
        <v>58.26</v>
      </c>
      <c r="J448" s="1">
        <f>VLOOKUP(B448,'NOVACART DATA'!$B$2:$N$1001,13,FALSE)</f>
        <v>0</v>
      </c>
    </row>
    <row r="449" spans="1:10">
      <c r="A449" s="2">
        <f>VLOOKUP(B449,CHOOSE({1,2},'NOVACART DATA'!$B$2:$B$1001,'NOVACART DATA'!$A$2:$A$1001),2,FALSE)</f>
        <v>46205</v>
      </c>
      <c r="B449" s="1">
        <v>1460</v>
      </c>
      <c r="C449" s="1">
        <f>VLOOKUP(B449,'NOVACART DATA'!$B$2:$C$1000,2,FALSE)</f>
        <v>59</v>
      </c>
      <c r="D449" s="1">
        <v>18</v>
      </c>
      <c r="E449" s="1" t="str">
        <f>VLOOKUP(B449,'NOVACART DATA'!$B$2:$M$1001,5,FALSE)</f>
        <v>Organic</v>
      </c>
      <c r="F449" s="1">
        <v>2</v>
      </c>
      <c r="G449" s="1">
        <v>44.01</v>
      </c>
      <c r="H449" s="1">
        <v>0</v>
      </c>
      <c r="I449" s="17">
        <f t="shared" si="6"/>
        <v>88.02</v>
      </c>
      <c r="J449" s="1">
        <f>VLOOKUP(B449,'NOVACART DATA'!$B$2:$N$1001,13,FALSE)</f>
        <v>0</v>
      </c>
    </row>
    <row r="450" spans="1:10">
      <c r="A450" s="2">
        <f>VLOOKUP(B450,CHOOSE({1,2},'NOVACART DATA'!$B$2:$B$1001,'NOVACART DATA'!$A$2:$A$1001),2,FALSE)</f>
        <v>46358</v>
      </c>
      <c r="B450" s="1">
        <v>1479</v>
      </c>
      <c r="C450" s="1">
        <f>VLOOKUP(B450,'NOVACART DATA'!$B$2:$C$1000,2,FALSE)</f>
        <v>59</v>
      </c>
      <c r="D450" s="1">
        <v>28</v>
      </c>
      <c r="E450" s="1" t="str">
        <f>VLOOKUP(B450,'NOVACART DATA'!$B$2:$M$1001,5,FALSE)</f>
        <v>Organic</v>
      </c>
      <c r="F450" s="1">
        <v>1</v>
      </c>
      <c r="G450" s="1">
        <v>21.24</v>
      </c>
      <c r="H450" s="1">
        <v>15</v>
      </c>
      <c r="I450" s="17">
        <f t="shared" ref="I450:I513" si="7">F450*G450*(1-H450/100)</f>
        <v>18.053999999999998</v>
      </c>
      <c r="J450" s="1">
        <f>VLOOKUP(B450,'NOVACART DATA'!$B$2:$N$1001,13,FALSE)</f>
        <v>0</v>
      </c>
    </row>
    <row r="451" spans="1:10">
      <c r="A451" s="2">
        <f>VLOOKUP(B451,CHOOSE({1,2},'NOVACART DATA'!$B$2:$B$1001,'NOVACART DATA'!$A$2:$A$1001),2,FALSE)</f>
        <v>46358</v>
      </c>
      <c r="B451" s="1">
        <v>1479</v>
      </c>
      <c r="C451" s="1">
        <f>VLOOKUP(B451,'NOVACART DATA'!$B$2:$C$1000,2,FALSE)</f>
        <v>59</v>
      </c>
      <c r="D451" s="1">
        <v>6</v>
      </c>
      <c r="E451" s="1" t="str">
        <f>VLOOKUP(B451,'NOVACART DATA'!$B$2:$M$1001,5,FALSE)</f>
        <v>Organic</v>
      </c>
      <c r="F451" s="1">
        <v>1</v>
      </c>
      <c r="G451" s="1">
        <v>70.47</v>
      </c>
      <c r="H451" s="1">
        <v>10</v>
      </c>
      <c r="I451" s="17">
        <f t="shared" si="7"/>
        <v>63.423000000000002</v>
      </c>
      <c r="J451" s="1">
        <f>VLOOKUP(B451,'NOVACART DATA'!$B$2:$N$1001,13,FALSE)</f>
        <v>0</v>
      </c>
    </row>
    <row r="452" spans="1:10">
      <c r="A452" s="2">
        <f>VLOOKUP(B452,CHOOSE({1,2},'NOVACART DATA'!$B$2:$B$1001,'NOVACART DATA'!$A$2:$A$1001),2,FALSE)</f>
        <v>46070</v>
      </c>
      <c r="B452" s="1">
        <v>1495</v>
      </c>
      <c r="C452" s="1">
        <f>VLOOKUP(B452,'NOVACART DATA'!$B$2:$C$1000,2,FALSE)</f>
        <v>59</v>
      </c>
      <c r="D452" s="1">
        <v>26</v>
      </c>
      <c r="E452" s="1" t="str">
        <f>VLOOKUP(B452,'NOVACART DATA'!$B$2:$M$1001,5,FALSE)</f>
        <v>Organic</v>
      </c>
      <c r="F452" s="1">
        <v>2</v>
      </c>
      <c r="G452" s="1">
        <v>31.76</v>
      </c>
      <c r="H452" s="1">
        <v>0</v>
      </c>
      <c r="I452" s="17">
        <f t="shared" si="7"/>
        <v>63.52</v>
      </c>
      <c r="J452" s="1">
        <f>VLOOKUP(B452,'NOVACART DATA'!$B$2:$N$1001,13,FALSE)</f>
        <v>0</v>
      </c>
    </row>
    <row r="453" spans="1:10">
      <c r="A453" s="2">
        <f>VLOOKUP(B453,CHOOSE({1,2},'NOVACART DATA'!$B$2:$B$1001,'NOVACART DATA'!$A$2:$A$1001),2,FALSE)</f>
        <v>46070</v>
      </c>
      <c r="B453" s="1">
        <v>1495</v>
      </c>
      <c r="C453" s="1">
        <f>VLOOKUP(B453,'NOVACART DATA'!$B$2:$C$1000,2,FALSE)</f>
        <v>59</v>
      </c>
      <c r="D453" s="1">
        <v>38</v>
      </c>
      <c r="E453" s="1" t="str">
        <f>VLOOKUP(B453,'NOVACART DATA'!$B$2:$M$1001,5,FALSE)</f>
        <v>Organic</v>
      </c>
      <c r="F453" s="1">
        <v>1</v>
      </c>
      <c r="G453" s="1">
        <v>25.14</v>
      </c>
      <c r="H453" s="1">
        <v>10</v>
      </c>
      <c r="I453" s="17">
        <f t="shared" si="7"/>
        <v>22.626000000000001</v>
      </c>
      <c r="J453" s="1">
        <f>VLOOKUP(B453,'NOVACART DATA'!$B$2:$N$1001,13,FALSE)</f>
        <v>0</v>
      </c>
    </row>
    <row r="454" spans="1:10">
      <c r="A454" s="2">
        <f>VLOOKUP(B454,CHOOSE({1,2},'NOVACART DATA'!$B$2:$B$1001,'NOVACART DATA'!$A$2:$A$1001),2,FALSE)</f>
        <v>46071</v>
      </c>
      <c r="B454" s="1">
        <v>1497</v>
      </c>
      <c r="C454" s="1">
        <f>VLOOKUP(B454,'NOVACART DATA'!$B$2:$C$1000,2,FALSE)</f>
        <v>59</v>
      </c>
      <c r="D454" s="1">
        <v>23</v>
      </c>
      <c r="E454" s="1" t="str">
        <f>VLOOKUP(B454,'NOVACART DATA'!$B$2:$M$1001,5,FALSE)</f>
        <v>Organic</v>
      </c>
      <c r="F454" s="1">
        <v>2</v>
      </c>
      <c r="G454" s="1">
        <v>38.14</v>
      </c>
      <c r="H454" s="1">
        <v>25</v>
      </c>
      <c r="I454" s="17">
        <f t="shared" si="7"/>
        <v>57.21</v>
      </c>
      <c r="J454" s="1">
        <f>VLOOKUP(B454,'NOVACART DATA'!$B$2:$N$1001,13,FALSE)</f>
        <v>1</v>
      </c>
    </row>
    <row r="455" spans="1:10">
      <c r="A455" s="2">
        <f>VLOOKUP(B455,CHOOSE({1,2},'NOVACART DATA'!$B$2:$B$1001,'NOVACART DATA'!$A$2:$A$1001),2,FALSE)</f>
        <v>46076</v>
      </c>
      <c r="B455" s="1">
        <v>1523</v>
      </c>
      <c r="C455" s="1">
        <f>VLOOKUP(B455,'NOVACART DATA'!$B$2:$C$1000,2,FALSE)</f>
        <v>59</v>
      </c>
      <c r="D455" s="1">
        <v>34</v>
      </c>
      <c r="E455" s="1" t="str">
        <f>VLOOKUP(B455,'NOVACART DATA'!$B$2:$M$1001,5,FALSE)</f>
        <v>Organic</v>
      </c>
      <c r="F455" s="1">
        <v>2</v>
      </c>
      <c r="G455" s="1">
        <v>58.26</v>
      </c>
      <c r="H455" s="1">
        <v>0</v>
      </c>
      <c r="I455" s="17">
        <f t="shared" si="7"/>
        <v>116.52</v>
      </c>
      <c r="J455" s="1">
        <f>VLOOKUP(B455,'NOVACART DATA'!$B$2:$N$1001,13,FALSE)</f>
        <v>0</v>
      </c>
    </row>
    <row r="456" spans="1:10">
      <c r="A456" s="2">
        <f>VLOOKUP(B456,CHOOSE({1,2},'NOVACART DATA'!$B$2:$B$1001,'NOVACART DATA'!$A$2:$A$1001),2,FALSE)</f>
        <v>45940</v>
      </c>
      <c r="B456" s="1">
        <v>1002</v>
      </c>
      <c r="C456" s="1">
        <f>VLOOKUP(B456,'NOVACART DATA'!$B$2:$C$1000,2,FALSE)</f>
        <v>60</v>
      </c>
      <c r="D456" s="1">
        <v>1</v>
      </c>
      <c r="E456" s="1" t="str">
        <f>VLOOKUP(B456,'NOVACART DATA'!$B$2:$M$1001,5,FALSE)</f>
        <v>Direct</v>
      </c>
      <c r="F456" s="1">
        <v>1</v>
      </c>
      <c r="G456" s="1">
        <v>47.45</v>
      </c>
      <c r="H456" s="1">
        <v>10</v>
      </c>
      <c r="I456" s="17">
        <f t="shared" si="7"/>
        <v>42.705000000000005</v>
      </c>
      <c r="J456" s="1">
        <f>VLOOKUP(B456,'NOVACART DATA'!$B$2:$N$1001,13,FALSE)</f>
        <v>0</v>
      </c>
    </row>
    <row r="457" spans="1:10">
      <c r="A457" s="2">
        <f>VLOOKUP(B457,CHOOSE({1,2},'NOVACART DATA'!$B$2:$B$1001,'NOVACART DATA'!$A$2:$A$1001),2,FALSE)</f>
        <v>45985</v>
      </c>
      <c r="B457" s="1">
        <v>1044</v>
      </c>
      <c r="C457" s="1">
        <f>VLOOKUP(B457,'NOVACART DATA'!$B$2:$C$1000,2,FALSE)</f>
        <v>5</v>
      </c>
      <c r="D457" s="1">
        <v>21</v>
      </c>
      <c r="E457" s="1" t="str">
        <f>VLOOKUP(B457,'NOVACART DATA'!$B$2:$M$1001,5,FALSE)</f>
        <v>Email</v>
      </c>
      <c r="F457" s="1">
        <v>2</v>
      </c>
      <c r="G457" s="1">
        <v>49.37</v>
      </c>
      <c r="H457" s="1">
        <v>5</v>
      </c>
      <c r="I457" s="17">
        <f t="shared" si="7"/>
        <v>93.802999999999997</v>
      </c>
      <c r="J457" s="1">
        <f>VLOOKUP(B457,'NOVACART DATA'!$B$2:$N$1001,13,FALSE)</f>
        <v>0</v>
      </c>
    </row>
    <row r="458" spans="1:10">
      <c r="A458" s="2">
        <f>VLOOKUP(B458,CHOOSE({1,2},'NOVACART DATA'!$B$2:$B$1001,'NOVACART DATA'!$A$2:$A$1001),2,FALSE)</f>
        <v>45973</v>
      </c>
      <c r="B458" s="1">
        <v>1256</v>
      </c>
      <c r="C458" s="1">
        <f>VLOOKUP(B458,'NOVACART DATA'!$B$2:$C$1000,2,FALSE)</f>
        <v>60</v>
      </c>
      <c r="D458" s="1">
        <v>28</v>
      </c>
      <c r="E458" s="1" t="str">
        <f>VLOOKUP(B458,'NOVACART DATA'!$B$2:$M$1001,5,FALSE)</f>
        <v>Direct</v>
      </c>
      <c r="F458" s="1">
        <v>2</v>
      </c>
      <c r="G458" s="1">
        <v>21.24</v>
      </c>
      <c r="H458" s="1">
        <v>0</v>
      </c>
      <c r="I458" s="17">
        <f t="shared" si="7"/>
        <v>42.48</v>
      </c>
      <c r="J458" s="1">
        <f>VLOOKUP(B458,'NOVACART DATA'!$B$2:$N$1001,13,FALSE)</f>
        <v>0</v>
      </c>
    </row>
    <row r="459" spans="1:10">
      <c r="A459" s="2">
        <f>VLOOKUP(B459,CHOOSE({1,2},'NOVACART DATA'!$B$2:$B$1001,'NOVACART DATA'!$A$2:$A$1001),2,FALSE)</f>
        <v>46007</v>
      </c>
      <c r="B459" s="1">
        <v>1285</v>
      </c>
      <c r="C459" s="1">
        <f>VLOOKUP(B459,'NOVACART DATA'!$B$2:$C$1000,2,FALSE)</f>
        <v>60</v>
      </c>
      <c r="D459" s="1">
        <v>26</v>
      </c>
      <c r="E459" s="1" t="str">
        <f>VLOOKUP(B459,'NOVACART DATA'!$B$2:$M$1001,5,FALSE)</f>
        <v>Direct</v>
      </c>
      <c r="F459" s="1">
        <v>1</v>
      </c>
      <c r="G459" s="1">
        <v>31.76</v>
      </c>
      <c r="H459" s="1">
        <v>25</v>
      </c>
      <c r="I459" s="17">
        <f t="shared" si="7"/>
        <v>23.82</v>
      </c>
      <c r="J459" s="1">
        <f>VLOOKUP(B459,'NOVACART DATA'!$B$2:$N$1001,13,FALSE)</f>
        <v>0</v>
      </c>
    </row>
    <row r="460" spans="1:10">
      <c r="A460" s="2">
        <f>VLOOKUP(B460,CHOOSE({1,2},'NOVACART DATA'!$B$2:$B$1001,'NOVACART DATA'!$A$2:$A$1001),2,FALSE)</f>
        <v>46020</v>
      </c>
      <c r="B460" s="1">
        <v>1352</v>
      </c>
      <c r="C460" s="1">
        <f>VLOOKUP(B460,'NOVACART DATA'!$B$2:$C$1000,2,FALSE)</f>
        <v>60</v>
      </c>
      <c r="D460" s="1">
        <v>17</v>
      </c>
      <c r="E460" s="1" t="str">
        <f>VLOOKUP(B460,'NOVACART DATA'!$B$2:$M$1001,5,FALSE)</f>
        <v>Direct</v>
      </c>
      <c r="F460" s="1">
        <v>2</v>
      </c>
      <c r="G460" s="1">
        <v>6.61</v>
      </c>
      <c r="H460" s="1">
        <v>0</v>
      </c>
      <c r="I460" s="17">
        <f t="shared" si="7"/>
        <v>13.22</v>
      </c>
      <c r="J460" s="1">
        <f>VLOOKUP(B460,'NOVACART DATA'!$B$2:$N$1001,13,FALSE)</f>
        <v>0</v>
      </c>
    </row>
    <row r="461" spans="1:10">
      <c r="A461" s="2">
        <f>VLOOKUP(B461,CHOOSE({1,2},'NOVACART DATA'!$B$2:$B$1001,'NOVACART DATA'!$A$2:$A$1001),2,FALSE)</f>
        <v>46020</v>
      </c>
      <c r="B461" s="1">
        <v>1352</v>
      </c>
      <c r="C461" s="1">
        <f>VLOOKUP(B461,'NOVACART DATA'!$B$2:$C$1000,2,FALSE)</f>
        <v>60</v>
      </c>
      <c r="D461" s="1">
        <v>1</v>
      </c>
      <c r="E461" s="1" t="str">
        <f>VLOOKUP(B461,'NOVACART DATA'!$B$2:$M$1001,5,FALSE)</f>
        <v>Direct</v>
      </c>
      <c r="F461" s="1">
        <v>1</v>
      </c>
      <c r="G461" s="1">
        <v>47.45</v>
      </c>
      <c r="H461" s="1">
        <v>0</v>
      </c>
      <c r="I461" s="17">
        <f t="shared" si="7"/>
        <v>47.45</v>
      </c>
      <c r="J461" s="1">
        <f>VLOOKUP(B461,'NOVACART DATA'!$B$2:$N$1001,13,FALSE)</f>
        <v>0</v>
      </c>
    </row>
    <row r="462" spans="1:10">
      <c r="A462" s="2">
        <f>VLOOKUP(B462,CHOOSE({1,2},'NOVACART DATA'!$B$2:$B$1001,'NOVACART DATA'!$A$2:$A$1001),2,FALSE)</f>
        <v>46073</v>
      </c>
      <c r="B462" s="1">
        <v>1508</v>
      </c>
      <c r="C462" s="1">
        <f>VLOOKUP(B462,'NOVACART DATA'!$B$2:$C$1000,2,FALSE)</f>
        <v>60</v>
      </c>
      <c r="D462" s="1">
        <v>23</v>
      </c>
      <c r="E462" s="1" t="str">
        <f>VLOOKUP(B462,'NOVACART DATA'!$B$2:$M$1001,5,FALSE)</f>
        <v>Direct</v>
      </c>
      <c r="F462" s="1">
        <v>2</v>
      </c>
      <c r="G462" s="1">
        <v>38.14</v>
      </c>
      <c r="H462" s="1">
        <v>10</v>
      </c>
      <c r="I462" s="17">
        <f t="shared" si="7"/>
        <v>68.652000000000001</v>
      </c>
      <c r="J462" s="1">
        <f>VLOOKUP(B462,'NOVACART DATA'!$B$2:$N$1001,13,FALSE)</f>
        <v>0</v>
      </c>
    </row>
    <row r="463" spans="1:10">
      <c r="A463" s="2">
        <f>VLOOKUP(B463,CHOOSE({1,2},'NOVACART DATA'!$B$2:$B$1001,'NOVACART DATA'!$A$2:$A$1001),2,FALSE)</f>
        <v>45973</v>
      </c>
      <c r="B463" s="1">
        <v>1256</v>
      </c>
      <c r="C463" s="1">
        <f>VLOOKUP(B463,'NOVACART DATA'!$B$2:$C$1000,2,FALSE)</f>
        <v>60</v>
      </c>
      <c r="D463" s="1">
        <v>34</v>
      </c>
      <c r="E463" s="1" t="str">
        <f>VLOOKUP(B463,'NOVACART DATA'!$B$2:$M$1001,5,FALSE)</f>
        <v>Direct</v>
      </c>
      <c r="F463" s="1">
        <v>1</v>
      </c>
      <c r="G463" s="1">
        <v>58.26</v>
      </c>
      <c r="H463" s="1">
        <v>10</v>
      </c>
      <c r="I463" s="17">
        <f t="shared" si="7"/>
        <v>52.433999999999997</v>
      </c>
      <c r="J463" s="1">
        <f>VLOOKUP(B463,'NOVACART DATA'!$B$2:$N$1001,13,FALSE)</f>
        <v>0</v>
      </c>
    </row>
    <row r="464" spans="1:10">
      <c r="A464" s="2">
        <f>VLOOKUP(B464,CHOOSE({1,2},'NOVACART DATA'!$B$2:$B$1001,'NOVACART DATA'!$A$2:$A$1001),2,FALSE)</f>
        <v>46204</v>
      </c>
      <c r="B464" s="1">
        <v>1376</v>
      </c>
      <c r="C464" s="1">
        <f>VLOOKUP(B464,'NOVACART DATA'!$B$2:$C$1000,2,FALSE)</f>
        <v>61</v>
      </c>
      <c r="D464" s="1">
        <v>36</v>
      </c>
      <c r="E464" s="1" t="str">
        <f>VLOOKUP(B464,'NOVACART DATA'!$B$2:$M$1001,5,FALSE)</f>
        <v>Social</v>
      </c>
      <c r="F464" s="1">
        <v>1</v>
      </c>
      <c r="G464" s="1">
        <v>23.23</v>
      </c>
      <c r="H464" s="1">
        <v>0</v>
      </c>
      <c r="I464" s="17">
        <f t="shared" si="7"/>
        <v>23.23</v>
      </c>
      <c r="J464" s="1">
        <f>VLOOKUP(B464,'NOVACART DATA'!$B$2:$N$1001,13,FALSE)</f>
        <v>0</v>
      </c>
    </row>
    <row r="465" spans="1:10">
      <c r="A465" s="2">
        <f>VLOOKUP(B465,CHOOSE({1,2},'NOVACART DATA'!$B$2:$B$1001,'NOVACART DATA'!$A$2:$A$1001),2,FALSE)</f>
        <v>46016</v>
      </c>
      <c r="B465" s="1">
        <v>1325</v>
      </c>
      <c r="C465" s="1">
        <f>VLOOKUP(B465,'NOVACART DATA'!$B$2:$C$1000,2,FALSE)</f>
        <v>62</v>
      </c>
      <c r="D465" s="1">
        <v>34</v>
      </c>
      <c r="E465" s="1" t="str">
        <f>VLOOKUP(B465,'NOVACART DATA'!$B$2:$M$1001,5,FALSE)</f>
        <v>Direct</v>
      </c>
      <c r="F465" s="1">
        <v>1</v>
      </c>
      <c r="G465" s="1">
        <v>58.26</v>
      </c>
      <c r="H465" s="1">
        <v>0</v>
      </c>
      <c r="I465" s="17">
        <f t="shared" si="7"/>
        <v>58.26</v>
      </c>
      <c r="J465" s="1">
        <f>VLOOKUP(B465,'NOVACART DATA'!$B$2:$N$1001,13,FALSE)</f>
        <v>0</v>
      </c>
    </row>
    <row r="466" spans="1:10">
      <c r="A466" s="2">
        <f>VLOOKUP(B466,CHOOSE({1,2},'NOVACART DATA'!$B$2:$B$1001,'NOVACART DATA'!$A$2:$A$1001),2,FALSE)</f>
        <v>46016</v>
      </c>
      <c r="B466" s="1">
        <v>1325</v>
      </c>
      <c r="C466" s="1">
        <f>VLOOKUP(B466,'NOVACART DATA'!$B$2:$C$1000,2,FALSE)</f>
        <v>62</v>
      </c>
      <c r="D466" s="1">
        <v>25</v>
      </c>
      <c r="E466" s="1" t="str">
        <f>VLOOKUP(B466,'NOVACART DATA'!$B$2:$M$1001,5,FALSE)</f>
        <v>Direct</v>
      </c>
      <c r="F466" s="1">
        <v>2</v>
      </c>
      <c r="G466" s="1">
        <v>38.869999999999997</v>
      </c>
      <c r="H466" s="1">
        <v>0</v>
      </c>
      <c r="I466" s="17">
        <f t="shared" si="7"/>
        <v>77.739999999999995</v>
      </c>
      <c r="J466" s="1">
        <f>VLOOKUP(B466,'NOVACART DATA'!$B$2:$N$1001,13,FALSE)</f>
        <v>0</v>
      </c>
    </row>
    <row r="467" spans="1:10">
      <c r="A467" s="2">
        <f>VLOOKUP(B467,CHOOSE({1,2},'NOVACART DATA'!$B$2:$B$1001,'NOVACART DATA'!$A$2:$A$1001),2,FALSE)</f>
        <v>45975</v>
      </c>
      <c r="B467" s="1">
        <v>1125</v>
      </c>
      <c r="C467" s="1">
        <f>VLOOKUP(B467,'NOVACART DATA'!$B$2:$C$1000,2,FALSE)</f>
        <v>63</v>
      </c>
      <c r="D467" s="1">
        <v>27</v>
      </c>
      <c r="E467" s="1" t="str">
        <f>VLOOKUP(B467,'NOVACART DATA'!$B$2:$M$1001,5,FALSE)</f>
        <v>Email</v>
      </c>
      <c r="F467" s="1">
        <v>1</v>
      </c>
      <c r="G467" s="1">
        <v>27.3</v>
      </c>
      <c r="H467" s="1">
        <v>0</v>
      </c>
      <c r="I467" s="17">
        <f t="shared" si="7"/>
        <v>27.3</v>
      </c>
      <c r="J467" s="1">
        <f>VLOOKUP(B467,'NOVACART DATA'!$B$2:$N$1001,13,FALSE)</f>
        <v>0</v>
      </c>
    </row>
    <row r="468" spans="1:10">
      <c r="A468" s="2">
        <f>VLOOKUP(B468,CHOOSE({1,2},'NOVACART DATA'!$B$2:$B$1001,'NOVACART DATA'!$A$2:$A$1001),2,FALSE)</f>
        <v>45975</v>
      </c>
      <c r="B468" s="1">
        <v>1125</v>
      </c>
      <c r="C468" s="1">
        <f>VLOOKUP(B468,'NOVACART DATA'!$B$2:$C$1000,2,FALSE)</f>
        <v>63</v>
      </c>
      <c r="D468" s="1">
        <v>29</v>
      </c>
      <c r="E468" s="1" t="str">
        <f>VLOOKUP(B468,'NOVACART DATA'!$B$2:$M$1001,5,FALSE)</f>
        <v>Email</v>
      </c>
      <c r="F468" s="1">
        <v>1</v>
      </c>
      <c r="G468" s="1">
        <v>45.67</v>
      </c>
      <c r="H468" s="1">
        <v>0</v>
      </c>
      <c r="I468" s="17">
        <f t="shared" si="7"/>
        <v>45.67</v>
      </c>
      <c r="J468" s="1">
        <f>VLOOKUP(B468,'NOVACART DATA'!$B$2:$N$1001,13,FALSE)</f>
        <v>0</v>
      </c>
    </row>
    <row r="469" spans="1:10">
      <c r="A469" s="2">
        <f>VLOOKUP(B469,CHOOSE({1,2},'NOVACART DATA'!$B$2:$B$1001,'NOVACART DATA'!$A$2:$A$1001),2,FALSE)</f>
        <v>45975</v>
      </c>
      <c r="B469" s="1">
        <v>1125</v>
      </c>
      <c r="C469" s="1">
        <f>VLOOKUP(B469,'NOVACART DATA'!$B$2:$C$1000,2,FALSE)</f>
        <v>63</v>
      </c>
      <c r="D469" s="1">
        <v>13</v>
      </c>
      <c r="E469" s="1" t="str">
        <f>VLOOKUP(B469,'NOVACART DATA'!$B$2:$M$1001,5,FALSE)</f>
        <v>Email</v>
      </c>
      <c r="F469" s="1">
        <v>1</v>
      </c>
      <c r="G469" s="1">
        <v>54.9</v>
      </c>
      <c r="H469" s="1">
        <v>0</v>
      </c>
      <c r="I469" s="17">
        <f t="shared" si="7"/>
        <v>54.9</v>
      </c>
      <c r="J469" s="1">
        <f>VLOOKUP(B469,'NOVACART DATA'!$B$2:$N$1001,13,FALSE)</f>
        <v>0</v>
      </c>
    </row>
    <row r="470" spans="1:10">
      <c r="A470" s="2">
        <f>VLOOKUP(B470,CHOOSE({1,2},'NOVACART DATA'!$B$2:$B$1001,'NOVACART DATA'!$A$2:$A$1001),2,FALSE)</f>
        <v>45982</v>
      </c>
      <c r="B470" s="1">
        <v>1158</v>
      </c>
      <c r="C470" s="1">
        <f>VLOOKUP(B470,'NOVACART DATA'!$B$2:$C$1000,2,FALSE)</f>
        <v>63</v>
      </c>
      <c r="D470" s="1">
        <v>22</v>
      </c>
      <c r="E470" s="1" t="str">
        <f>VLOOKUP(B470,'NOVACART DATA'!$B$2:$M$1001,5,FALSE)</f>
        <v>Email</v>
      </c>
      <c r="F470" s="1">
        <v>1</v>
      </c>
      <c r="G470" s="1">
        <v>29.98</v>
      </c>
      <c r="H470" s="1">
        <v>0</v>
      </c>
      <c r="I470" s="17">
        <f t="shared" si="7"/>
        <v>29.98</v>
      </c>
      <c r="J470" s="1">
        <f>VLOOKUP(B470,'NOVACART DATA'!$B$2:$N$1001,13,FALSE)</f>
        <v>0</v>
      </c>
    </row>
    <row r="471" spans="1:10">
      <c r="A471" s="2">
        <f>VLOOKUP(B471,CHOOSE({1,2},'NOVACART DATA'!$B$2:$B$1001,'NOVACART DATA'!$A$2:$A$1001),2,FALSE)</f>
        <v>45982</v>
      </c>
      <c r="B471" s="1">
        <v>1158</v>
      </c>
      <c r="C471" s="1">
        <f>VLOOKUP(B471,'NOVACART DATA'!$B$2:$C$1000,2,FALSE)</f>
        <v>63</v>
      </c>
      <c r="D471" s="1">
        <v>20</v>
      </c>
      <c r="E471" s="1" t="str">
        <f>VLOOKUP(B471,'NOVACART DATA'!$B$2:$M$1001,5,FALSE)</f>
        <v>Email</v>
      </c>
      <c r="F471" s="1">
        <v>1</v>
      </c>
      <c r="G471" s="1">
        <v>32.76</v>
      </c>
      <c r="H471" s="1">
        <v>0</v>
      </c>
      <c r="I471" s="17">
        <f t="shared" si="7"/>
        <v>32.76</v>
      </c>
      <c r="J471" s="1">
        <f>VLOOKUP(B471,'NOVACART DATA'!$B$2:$N$1001,13,FALSE)</f>
        <v>0</v>
      </c>
    </row>
    <row r="472" spans="1:10">
      <c r="A472" s="2">
        <f>VLOOKUP(B472,CHOOSE({1,2},'NOVACART DATA'!$B$2:$B$1001,'NOVACART DATA'!$A$2:$A$1001),2,FALSE)</f>
        <v>46013</v>
      </c>
      <c r="B472" s="1">
        <v>1307</v>
      </c>
      <c r="C472" s="1">
        <f>VLOOKUP(B472,'NOVACART DATA'!$B$2:$C$1000,2,FALSE)</f>
        <v>64</v>
      </c>
      <c r="D472" s="1">
        <v>14</v>
      </c>
      <c r="E472" s="1" t="str">
        <f>VLOOKUP(B472,'NOVACART DATA'!$B$2:$M$1001,5,FALSE)</f>
        <v>Direct</v>
      </c>
      <c r="F472" s="1">
        <v>1</v>
      </c>
      <c r="G472" s="1">
        <v>15.36</v>
      </c>
      <c r="H472" s="1">
        <v>10</v>
      </c>
      <c r="I472" s="17">
        <f t="shared" si="7"/>
        <v>13.824</v>
      </c>
      <c r="J472" s="1">
        <f>VLOOKUP(B472,'NOVACART DATA'!$B$2:$N$1001,13,FALSE)</f>
        <v>1</v>
      </c>
    </row>
    <row r="473" spans="1:10">
      <c r="A473" s="2">
        <f>VLOOKUP(B473,CHOOSE({1,2},'NOVACART DATA'!$B$2:$B$1001,'NOVACART DATA'!$A$2:$A$1001),2,FALSE)</f>
        <v>46020</v>
      </c>
      <c r="B473" s="1">
        <v>1353</v>
      </c>
      <c r="C473" s="1">
        <f>VLOOKUP(B473,'NOVACART DATA'!$B$2:$C$1000,2,FALSE)</f>
        <v>64</v>
      </c>
      <c r="D473" s="1">
        <v>17</v>
      </c>
      <c r="E473" s="1" t="str">
        <f>VLOOKUP(B473,'NOVACART DATA'!$B$2:$M$1001,5,FALSE)</f>
        <v>Direct</v>
      </c>
      <c r="F473" s="1">
        <v>3</v>
      </c>
      <c r="G473" s="1">
        <v>6.61</v>
      </c>
      <c r="H473" s="1">
        <v>0</v>
      </c>
      <c r="I473" s="17">
        <f t="shared" si="7"/>
        <v>19.830000000000002</v>
      </c>
      <c r="J473" s="1">
        <f>VLOOKUP(B473,'NOVACART DATA'!$B$2:$N$1001,13,FALSE)</f>
        <v>0</v>
      </c>
    </row>
    <row r="474" spans="1:10">
      <c r="A474" s="2">
        <f>VLOOKUP(B474,CHOOSE({1,2},'NOVACART DATA'!$B$2:$B$1001,'NOVACART DATA'!$A$2:$A$1001),2,FALSE)</f>
        <v>46020</v>
      </c>
      <c r="B474" s="1">
        <v>1353</v>
      </c>
      <c r="C474" s="1">
        <f>VLOOKUP(B474,'NOVACART DATA'!$B$2:$C$1000,2,FALSE)</f>
        <v>64</v>
      </c>
      <c r="D474" s="1">
        <v>7</v>
      </c>
      <c r="E474" s="1" t="str">
        <f>VLOOKUP(B474,'NOVACART DATA'!$B$2:$M$1001,5,FALSE)</f>
        <v>Direct</v>
      </c>
      <c r="F474" s="1">
        <v>1</v>
      </c>
      <c r="G474" s="1">
        <v>79.39</v>
      </c>
      <c r="H474" s="1">
        <v>0</v>
      </c>
      <c r="I474" s="17">
        <f t="shared" si="7"/>
        <v>79.39</v>
      </c>
      <c r="J474" s="1">
        <f>VLOOKUP(B474,'NOVACART DATA'!$B$2:$N$1001,13,FALSE)</f>
        <v>0</v>
      </c>
    </row>
    <row r="475" spans="1:10">
      <c r="A475" s="2">
        <f>VLOOKUP(B475,CHOOSE({1,2},'NOVACART DATA'!$B$2:$B$1001,'NOVACART DATA'!$A$2:$A$1001),2,FALSE)</f>
        <v>46020</v>
      </c>
      <c r="B475" s="1">
        <v>1353</v>
      </c>
      <c r="C475" s="1">
        <f>VLOOKUP(B475,'NOVACART DATA'!$B$2:$C$1000,2,FALSE)</f>
        <v>64</v>
      </c>
      <c r="D475" s="1">
        <v>13</v>
      </c>
      <c r="E475" s="1" t="str">
        <f>VLOOKUP(B475,'NOVACART DATA'!$B$2:$M$1001,5,FALSE)</f>
        <v>Direct</v>
      </c>
      <c r="F475" s="1">
        <v>1</v>
      </c>
      <c r="G475" s="1">
        <v>54.9</v>
      </c>
      <c r="H475" s="1">
        <v>0</v>
      </c>
      <c r="I475" s="17">
        <f t="shared" si="7"/>
        <v>54.9</v>
      </c>
      <c r="J475" s="1">
        <f>VLOOKUP(B475,'NOVACART DATA'!$B$2:$N$1001,13,FALSE)</f>
        <v>0</v>
      </c>
    </row>
    <row r="476" spans="1:10">
      <c r="A476" s="2">
        <f>VLOOKUP(B476,CHOOSE({1,2},'NOVACART DATA'!$B$2:$B$1001,'NOVACART DATA'!$A$2:$A$1001),2,FALSE)</f>
        <v>46020</v>
      </c>
      <c r="B476" s="1">
        <v>1353</v>
      </c>
      <c r="C476" s="1">
        <f>VLOOKUP(B476,'NOVACART DATA'!$B$2:$C$1000,2,FALSE)</f>
        <v>64</v>
      </c>
      <c r="D476" s="1" t="str">
        <f>_xlfn.XLOOKUP(E476,'Product Data'!$B$2:$B$100,'Product Data'!$A$2:$A$100,"Not Found")</f>
        <v>Not Found</v>
      </c>
      <c r="E476" s="1" t="str">
        <f>VLOOKUP(B476,'NOVACART DATA'!$B$2:$M$1001,5,FALSE)</f>
        <v>Direct</v>
      </c>
      <c r="F476" s="1">
        <v>1</v>
      </c>
      <c r="G476" s="1">
        <v>47.25</v>
      </c>
      <c r="H476" s="1">
        <v>0</v>
      </c>
      <c r="I476" s="17">
        <f t="shared" si="7"/>
        <v>47.25</v>
      </c>
      <c r="J476" s="1">
        <f>VLOOKUP(B476,'NOVACART DATA'!$B$2:$N$1001,13,FALSE)</f>
        <v>0</v>
      </c>
    </row>
    <row r="477" spans="1:10">
      <c r="A477" s="2">
        <f>VLOOKUP(B477,CHOOSE({1,2},'NOVACART DATA'!$B$2:$B$1001,'NOVACART DATA'!$A$2:$A$1001),2,FALSE)</f>
        <v>46050</v>
      </c>
      <c r="B477" s="1">
        <v>1436</v>
      </c>
      <c r="C477" s="1">
        <f>VLOOKUP(B477,'NOVACART DATA'!$B$2:$C$1000,2,FALSE)</f>
        <v>64</v>
      </c>
      <c r="D477" s="1">
        <v>21</v>
      </c>
      <c r="E477" s="1" t="str">
        <f>VLOOKUP(B477,'NOVACART DATA'!$B$2:$M$1001,5,FALSE)</f>
        <v>Direct</v>
      </c>
      <c r="F477" s="1">
        <v>3</v>
      </c>
      <c r="G477" s="1">
        <v>49.37</v>
      </c>
      <c r="H477" s="1">
        <v>20</v>
      </c>
      <c r="I477" s="17">
        <f t="shared" si="7"/>
        <v>118.488</v>
      </c>
      <c r="J477" s="1">
        <f>VLOOKUP(B477,'NOVACART DATA'!$B$2:$N$1001,13,FALSE)</f>
        <v>0</v>
      </c>
    </row>
    <row r="478" spans="1:10">
      <c r="A478" s="2">
        <f>VLOOKUP(B478,CHOOSE({1,2},'NOVACART DATA'!$B$2:$B$1001,'NOVACART DATA'!$A$2:$A$1001),2,FALSE)</f>
        <v>45948</v>
      </c>
      <c r="B478" s="1">
        <v>1023</v>
      </c>
      <c r="C478" s="1">
        <f>VLOOKUP(B478,'NOVACART DATA'!$B$2:$C$1000,2,FALSE)</f>
        <v>65</v>
      </c>
      <c r="D478" s="1">
        <v>40</v>
      </c>
      <c r="E478" s="1" t="str">
        <f>VLOOKUP(B478,'NOVACART DATA'!$B$2:$M$1001,5,FALSE)</f>
        <v>Direct</v>
      </c>
      <c r="F478" s="1">
        <v>1</v>
      </c>
      <c r="G478" s="1">
        <v>47.25</v>
      </c>
      <c r="H478" s="1">
        <v>0</v>
      </c>
      <c r="I478" s="17">
        <f t="shared" si="7"/>
        <v>47.25</v>
      </c>
      <c r="J478" s="1">
        <f>VLOOKUP(B478,'NOVACART DATA'!$B$2:$N$1001,13,FALSE)</f>
        <v>0</v>
      </c>
    </row>
    <row r="479" spans="1:10">
      <c r="A479" s="2">
        <f>VLOOKUP(B479,CHOOSE({1,2},'NOVACART DATA'!$B$2:$B$1001,'NOVACART DATA'!$A$2:$A$1001),2,FALSE)</f>
        <v>45948</v>
      </c>
      <c r="B479" s="1">
        <v>1023</v>
      </c>
      <c r="C479" s="1">
        <f>VLOOKUP(B479,'NOVACART DATA'!$B$2:$C$1000,2,FALSE)</f>
        <v>65</v>
      </c>
      <c r="D479" s="1">
        <v>9</v>
      </c>
      <c r="E479" s="1" t="str">
        <f>VLOOKUP(B479,'NOVACART DATA'!$B$2:$M$1001,5,FALSE)</f>
        <v>Direct</v>
      </c>
      <c r="F479" s="1">
        <v>2</v>
      </c>
      <c r="G479" s="1">
        <v>20.69</v>
      </c>
      <c r="H479" s="1">
        <v>0</v>
      </c>
      <c r="I479" s="17">
        <f t="shared" si="7"/>
        <v>41.38</v>
      </c>
      <c r="J479" s="1">
        <f>VLOOKUP(B479,'NOVACART DATA'!$B$2:$N$1001,13,FALSE)</f>
        <v>0</v>
      </c>
    </row>
    <row r="480" spans="1:10">
      <c r="A480" s="2">
        <f>VLOOKUP(B480,CHOOSE({1,2},'NOVACART DATA'!$B$2:$B$1001,'NOVACART DATA'!$A$2:$A$1001),2,FALSE)</f>
        <v>45948</v>
      </c>
      <c r="B480" s="1">
        <v>1023</v>
      </c>
      <c r="C480" s="1">
        <f>VLOOKUP(B480,'NOVACART DATA'!$B$2:$C$1000,2,FALSE)</f>
        <v>65</v>
      </c>
      <c r="D480" s="1">
        <v>38</v>
      </c>
      <c r="E480" s="1" t="str">
        <f>VLOOKUP(B480,'NOVACART DATA'!$B$2:$M$1001,5,FALSE)</f>
        <v>Direct</v>
      </c>
      <c r="F480" s="1">
        <v>1</v>
      </c>
      <c r="G480" s="1">
        <v>25.14</v>
      </c>
      <c r="H480" s="1">
        <v>0</v>
      </c>
      <c r="I480" s="17">
        <f t="shared" si="7"/>
        <v>25.14</v>
      </c>
      <c r="J480" s="1">
        <f>VLOOKUP(B480,'NOVACART DATA'!$B$2:$N$1001,13,FALSE)</f>
        <v>0</v>
      </c>
    </row>
    <row r="481" spans="1:10">
      <c r="A481" s="2">
        <f>VLOOKUP(B481,CHOOSE({1,2},'NOVACART DATA'!$B$2:$B$1001,'NOVACART DATA'!$A$2:$A$1001),2,FALSE)</f>
        <v>45948</v>
      </c>
      <c r="B481" s="1">
        <v>1024</v>
      </c>
      <c r="C481" s="1">
        <f>VLOOKUP(B481,'NOVACART DATA'!$B$2:$C$1000,2,FALSE)</f>
        <v>66</v>
      </c>
      <c r="D481" s="1">
        <v>24</v>
      </c>
      <c r="E481" s="1" t="str">
        <f>VLOOKUP(B481,'NOVACART DATA'!$B$2:$M$1001,5,FALSE)</f>
        <v>Organic</v>
      </c>
      <c r="F481" s="1">
        <v>1</v>
      </c>
      <c r="G481" s="1">
        <v>43.42</v>
      </c>
      <c r="H481" s="1">
        <v>0</v>
      </c>
      <c r="I481" s="17">
        <f t="shared" si="7"/>
        <v>43.42</v>
      </c>
      <c r="J481" s="1">
        <f>VLOOKUP(B481,'NOVACART DATA'!$B$2:$N$1001,13,FALSE)</f>
        <v>0</v>
      </c>
    </row>
    <row r="482" spans="1:10">
      <c r="A482" s="2">
        <f>VLOOKUP(B482,CHOOSE({1,2},'NOVACART DATA'!$B$2:$B$1001,'NOVACART DATA'!$A$2:$A$1001),2,FALSE)</f>
        <v>45948</v>
      </c>
      <c r="B482" s="1">
        <v>1024</v>
      </c>
      <c r="C482" s="1">
        <f>VLOOKUP(B482,'NOVACART DATA'!$B$2:$C$1000,2,FALSE)</f>
        <v>66</v>
      </c>
      <c r="D482" s="1">
        <v>12</v>
      </c>
      <c r="E482" s="1" t="str">
        <f>VLOOKUP(B482,'NOVACART DATA'!$B$2:$M$1001,5,FALSE)</f>
        <v>Organic</v>
      </c>
      <c r="F482" s="1">
        <v>1</v>
      </c>
      <c r="G482" s="1">
        <v>8.4499999999999993</v>
      </c>
      <c r="H482" s="1">
        <v>0</v>
      </c>
      <c r="I482" s="17">
        <f t="shared" si="7"/>
        <v>8.4499999999999993</v>
      </c>
      <c r="J482" s="1">
        <f>VLOOKUP(B482,'NOVACART DATA'!$B$2:$N$1001,13,FALSE)</f>
        <v>0</v>
      </c>
    </row>
    <row r="483" spans="1:10">
      <c r="A483" s="2">
        <f>VLOOKUP(B483,CHOOSE({1,2},'NOVACART DATA'!$B$2:$B$1001,'NOVACART DATA'!$A$2:$A$1001),2,FALSE)</f>
        <v>46114</v>
      </c>
      <c r="B483" s="1">
        <v>1451</v>
      </c>
      <c r="C483" s="1">
        <f>VLOOKUP(B483,'NOVACART DATA'!$B$2:$C$1000,2,FALSE)</f>
        <v>67</v>
      </c>
      <c r="D483" s="1">
        <v>2</v>
      </c>
      <c r="E483" s="1" t="str">
        <f>VLOOKUP(B483,'NOVACART DATA'!$B$2:$M$1001,5,FALSE)</f>
        <v>Social</v>
      </c>
      <c r="F483" s="1">
        <v>1</v>
      </c>
      <c r="G483" s="1">
        <v>64.02</v>
      </c>
      <c r="H483" s="1">
        <v>15</v>
      </c>
      <c r="I483" s="17">
        <f t="shared" si="7"/>
        <v>54.416999999999994</v>
      </c>
      <c r="J483" s="1">
        <f>VLOOKUP(B483,'NOVACART DATA'!$B$2:$N$1001,13,FALSE)</f>
        <v>0</v>
      </c>
    </row>
    <row r="484" spans="1:10">
      <c r="A484" s="2">
        <f>VLOOKUP(B484,CHOOSE({1,2},'NOVACART DATA'!$B$2:$B$1001,'NOVACART DATA'!$A$2:$A$1001),2,FALSE)</f>
        <v>46073</v>
      </c>
      <c r="B484" s="1">
        <v>1509</v>
      </c>
      <c r="C484" s="1">
        <f>VLOOKUP(B484,'NOVACART DATA'!$B$2:$C$1000,2,FALSE)</f>
        <v>67</v>
      </c>
      <c r="D484" s="1">
        <v>8</v>
      </c>
      <c r="E484" s="1" t="str">
        <f>VLOOKUP(B484,'NOVACART DATA'!$B$2:$M$1001,5,FALSE)</f>
        <v>Social</v>
      </c>
      <c r="F484" s="1">
        <v>1</v>
      </c>
      <c r="G484" s="1">
        <v>16.72</v>
      </c>
      <c r="H484" s="1">
        <v>5</v>
      </c>
      <c r="I484" s="17">
        <f t="shared" si="7"/>
        <v>15.883999999999999</v>
      </c>
      <c r="J484" s="1">
        <f>VLOOKUP(B484,'NOVACART DATA'!$B$2:$N$1001,13,FALSE)</f>
        <v>0</v>
      </c>
    </row>
    <row r="485" spans="1:10">
      <c r="A485" s="2">
        <f>VLOOKUP(B485,CHOOSE({1,2},'NOVACART DATA'!$B$2:$B$1001,'NOVACART DATA'!$A$2:$A$1001),2,FALSE)</f>
        <v>46073</v>
      </c>
      <c r="B485" s="1">
        <v>1509</v>
      </c>
      <c r="C485" s="1">
        <f>VLOOKUP(B485,'NOVACART DATA'!$B$2:$C$1000,2,FALSE)</f>
        <v>67</v>
      </c>
      <c r="D485" s="1">
        <v>23</v>
      </c>
      <c r="E485" s="1" t="str">
        <f>VLOOKUP(B485,'NOVACART DATA'!$B$2:$M$1001,5,FALSE)</f>
        <v>Social</v>
      </c>
      <c r="F485" s="1">
        <v>1</v>
      </c>
      <c r="G485" s="1">
        <v>38.14</v>
      </c>
      <c r="H485" s="1">
        <v>0</v>
      </c>
      <c r="I485" s="17">
        <f t="shared" si="7"/>
        <v>38.14</v>
      </c>
      <c r="J485" s="1">
        <f>VLOOKUP(B485,'NOVACART DATA'!$B$2:$N$1001,13,FALSE)</f>
        <v>0</v>
      </c>
    </row>
    <row r="486" spans="1:10">
      <c r="A486" s="2">
        <f>VLOOKUP(B486,CHOOSE({1,2},'NOVACART DATA'!$B$2:$B$1001,'NOVACART DATA'!$A$2:$A$1001),2,FALSE)</f>
        <v>46073</v>
      </c>
      <c r="B486" s="1">
        <v>1509</v>
      </c>
      <c r="C486" s="1">
        <f>VLOOKUP(B486,'NOVACART DATA'!$B$2:$C$1000,2,FALSE)</f>
        <v>67</v>
      </c>
      <c r="D486" s="1">
        <v>23</v>
      </c>
      <c r="E486" s="1" t="str">
        <f>VLOOKUP(B486,'NOVACART DATA'!$B$2:$M$1001,5,FALSE)</f>
        <v>Social</v>
      </c>
      <c r="F486" s="1">
        <v>1</v>
      </c>
      <c r="G486" s="1">
        <v>38.14</v>
      </c>
      <c r="H486" s="1">
        <v>5</v>
      </c>
      <c r="I486" s="17">
        <f t="shared" si="7"/>
        <v>36.232999999999997</v>
      </c>
      <c r="J486" s="1">
        <f>VLOOKUP(B486,'NOVACART DATA'!$B$2:$N$1001,13,FALSE)</f>
        <v>0</v>
      </c>
    </row>
    <row r="487" spans="1:10">
      <c r="A487" s="2">
        <f>VLOOKUP(B487,CHOOSE({1,2},'NOVACART DATA'!$B$2:$B$1001,'NOVACART DATA'!$A$2:$A$1001),2,FALSE)</f>
        <v>46025</v>
      </c>
      <c r="B487" s="1">
        <v>1549</v>
      </c>
      <c r="C487" s="1">
        <f>VLOOKUP(B487,'NOVACART DATA'!$B$2:$C$1000,2,FALSE)</f>
        <v>67</v>
      </c>
      <c r="D487" s="1">
        <v>23</v>
      </c>
      <c r="E487" s="1" t="str">
        <f>VLOOKUP(B487,'NOVACART DATA'!$B$2:$M$1001,5,FALSE)</f>
        <v>Social</v>
      </c>
      <c r="F487" s="1">
        <v>1</v>
      </c>
      <c r="G487" s="1">
        <v>38.14</v>
      </c>
      <c r="H487" s="1">
        <v>10</v>
      </c>
      <c r="I487" s="17">
        <f t="shared" si="7"/>
        <v>34.326000000000001</v>
      </c>
      <c r="J487" s="1">
        <f>VLOOKUP(B487,'NOVACART DATA'!$B$2:$N$1001,13,FALSE)</f>
        <v>0</v>
      </c>
    </row>
    <row r="488" spans="1:10">
      <c r="A488" s="2">
        <f>VLOOKUP(B488,CHOOSE({1,2},'NOVACART DATA'!$B$2:$B$1001,'NOVACART DATA'!$A$2:$A$1001),2,FALSE)</f>
        <v>46025</v>
      </c>
      <c r="B488" s="1">
        <v>1549</v>
      </c>
      <c r="C488" s="1">
        <f>VLOOKUP(B488,'NOVACART DATA'!$B$2:$C$1000,2,FALSE)</f>
        <v>67</v>
      </c>
      <c r="D488" s="1">
        <v>32</v>
      </c>
      <c r="E488" s="1" t="str">
        <f>VLOOKUP(B488,'NOVACART DATA'!$B$2:$M$1001,5,FALSE)</f>
        <v>Social</v>
      </c>
      <c r="F488" s="1">
        <v>1</v>
      </c>
      <c r="G488" s="1">
        <v>61.06</v>
      </c>
      <c r="H488" s="1">
        <v>0</v>
      </c>
      <c r="I488" s="17">
        <f t="shared" si="7"/>
        <v>61.06</v>
      </c>
      <c r="J488" s="1">
        <f>VLOOKUP(B488,'NOVACART DATA'!$B$2:$N$1001,13,FALSE)</f>
        <v>0</v>
      </c>
    </row>
    <row r="489" spans="1:10">
      <c r="A489" s="2">
        <f>VLOOKUP(B489,CHOOSE({1,2},'NOVACART DATA'!$B$2:$B$1001,'NOVACART DATA'!$A$2:$A$1001),2,FALSE)</f>
        <v>46025</v>
      </c>
      <c r="B489" s="1">
        <v>1549</v>
      </c>
      <c r="C489" s="1">
        <f>VLOOKUP(B489,'NOVACART DATA'!$B$2:$C$1000,2,FALSE)</f>
        <v>67</v>
      </c>
      <c r="D489" s="1">
        <v>2</v>
      </c>
      <c r="E489" s="1" t="str">
        <f>VLOOKUP(B489,'NOVACART DATA'!$B$2:$M$1001,5,FALSE)</f>
        <v>Social</v>
      </c>
      <c r="F489" s="1">
        <v>1</v>
      </c>
      <c r="G489" s="1">
        <v>64.02</v>
      </c>
      <c r="H489" s="1">
        <v>0</v>
      </c>
      <c r="I489" s="17">
        <f t="shared" si="7"/>
        <v>64.02</v>
      </c>
      <c r="J489" s="1">
        <f>VLOOKUP(B489,'NOVACART DATA'!$B$2:$N$1001,13,FALSE)</f>
        <v>0</v>
      </c>
    </row>
    <row r="490" spans="1:10">
      <c r="A490" s="2">
        <f>VLOOKUP(B490,CHOOSE({1,2},'NOVACART DATA'!$B$2:$B$1001,'NOVACART DATA'!$A$2:$A$1001),2,FALSE)</f>
        <v>45961</v>
      </c>
      <c r="B490" s="1">
        <v>1060</v>
      </c>
      <c r="C490" s="1">
        <f>VLOOKUP(B490,'NOVACART DATA'!$B$2:$C$1000,2,FALSE)</f>
        <v>68</v>
      </c>
      <c r="D490" s="1">
        <v>35</v>
      </c>
      <c r="E490" s="1" t="str">
        <f>VLOOKUP(B490,'NOVACART DATA'!$B$2:$M$1001,5,FALSE)</f>
        <v>Paid Search</v>
      </c>
      <c r="F490" s="1">
        <v>1</v>
      </c>
      <c r="G490" s="1">
        <v>11.3</v>
      </c>
      <c r="H490" s="1">
        <v>5</v>
      </c>
      <c r="I490" s="17">
        <f t="shared" si="7"/>
        <v>10.734999999999999</v>
      </c>
      <c r="J490" s="1">
        <f>VLOOKUP(B490,'NOVACART DATA'!$B$2:$N$1001,13,FALSE)</f>
        <v>0</v>
      </c>
    </row>
    <row r="491" spans="1:10">
      <c r="A491" s="2">
        <f>VLOOKUP(B491,CHOOSE({1,2},'NOVACART DATA'!$B$2:$B$1001,'NOVACART DATA'!$A$2:$A$1001),2,FALSE)</f>
        <v>45961</v>
      </c>
      <c r="B491" s="1">
        <v>1060</v>
      </c>
      <c r="C491" s="1">
        <f>VLOOKUP(B491,'NOVACART DATA'!$B$2:$C$1000,2,FALSE)</f>
        <v>68</v>
      </c>
      <c r="D491" s="1">
        <v>37</v>
      </c>
      <c r="E491" s="1" t="str">
        <f>VLOOKUP(B491,'NOVACART DATA'!$B$2:$M$1001,5,FALSE)</f>
        <v>Paid Search</v>
      </c>
      <c r="F491" s="1">
        <v>1</v>
      </c>
      <c r="G491" s="1">
        <v>52.67</v>
      </c>
      <c r="H491" s="1">
        <v>0</v>
      </c>
      <c r="I491" s="17">
        <f t="shared" si="7"/>
        <v>52.67</v>
      </c>
      <c r="J491" s="1">
        <f>VLOOKUP(B491,'NOVACART DATA'!$B$2:$N$1001,13,FALSE)</f>
        <v>0</v>
      </c>
    </row>
    <row r="492" spans="1:10">
      <c r="A492" s="2">
        <f>VLOOKUP(B492,CHOOSE({1,2},'NOVACART DATA'!$B$2:$B$1001,'NOVACART DATA'!$A$2:$A$1001),2,FALSE)</f>
        <v>45961</v>
      </c>
      <c r="B492" s="1">
        <v>1060</v>
      </c>
      <c r="C492" s="1">
        <f>VLOOKUP(B492,'NOVACART DATA'!$B$2:$C$1000,2,FALSE)</f>
        <v>68</v>
      </c>
      <c r="D492" s="1">
        <v>39</v>
      </c>
      <c r="E492" s="1" t="str">
        <f>VLOOKUP(B492,'NOVACART DATA'!$B$2:$M$1001,5,FALSE)</f>
        <v>Paid Search</v>
      </c>
      <c r="F492" s="1">
        <v>3</v>
      </c>
      <c r="G492" s="1">
        <v>39.979999999999997</v>
      </c>
      <c r="H492" s="1">
        <v>0</v>
      </c>
      <c r="I492" s="17">
        <f t="shared" si="7"/>
        <v>119.94</v>
      </c>
      <c r="J492" s="1">
        <f>VLOOKUP(B492,'NOVACART DATA'!$B$2:$N$1001,13,FALSE)</f>
        <v>0</v>
      </c>
    </row>
    <row r="493" spans="1:10">
      <c r="A493" s="2">
        <f>VLOOKUP(B493,CHOOSE({1,2},'NOVACART DATA'!$B$2:$B$1001,'NOVACART DATA'!$A$2:$A$1001),2,FALSE)</f>
        <v>45961</v>
      </c>
      <c r="B493" s="1">
        <v>1060</v>
      </c>
      <c r="C493" s="1">
        <f>VLOOKUP(B493,'NOVACART DATA'!$B$2:$C$1000,2,FALSE)</f>
        <v>68</v>
      </c>
      <c r="D493" s="1">
        <v>19</v>
      </c>
      <c r="E493" s="1" t="str">
        <f>VLOOKUP(B493,'NOVACART DATA'!$B$2:$M$1001,5,FALSE)</f>
        <v>Paid Search</v>
      </c>
      <c r="F493" s="1">
        <v>1</v>
      </c>
      <c r="G493" s="1">
        <v>50.14</v>
      </c>
      <c r="H493" s="1">
        <v>0</v>
      </c>
      <c r="I493" s="17">
        <f t="shared" si="7"/>
        <v>50.14</v>
      </c>
      <c r="J493" s="1">
        <f>VLOOKUP(B493,'NOVACART DATA'!$B$2:$N$1001,13,FALSE)</f>
        <v>0</v>
      </c>
    </row>
    <row r="494" spans="1:10">
      <c r="A494" s="2">
        <f>VLOOKUP(B494,CHOOSE({1,2},'NOVACART DATA'!$B$2:$B$1001,'NOVACART DATA'!$A$2:$A$1001),2,FALSE)</f>
        <v>45788</v>
      </c>
      <c r="B494" s="1">
        <v>1080</v>
      </c>
      <c r="C494" s="1">
        <f>VLOOKUP(B494,'NOVACART DATA'!$B$2:$C$1000,2,FALSE)</f>
        <v>68</v>
      </c>
      <c r="D494" s="1">
        <v>16</v>
      </c>
      <c r="E494" s="1" t="str">
        <f>VLOOKUP(B494,'NOVACART DATA'!$B$2:$M$1001,5,FALSE)</f>
        <v>Paid Search</v>
      </c>
      <c r="F494" s="1">
        <v>2</v>
      </c>
      <c r="G494" s="1">
        <v>11.81</v>
      </c>
      <c r="H494" s="1">
        <v>0</v>
      </c>
      <c r="I494" s="17">
        <f t="shared" si="7"/>
        <v>23.62</v>
      </c>
      <c r="J494" s="1">
        <f>VLOOKUP(B494,'NOVACART DATA'!$B$2:$N$1001,13,FALSE)</f>
        <v>0</v>
      </c>
    </row>
    <row r="495" spans="1:10">
      <c r="A495" s="2">
        <f>VLOOKUP(B495,CHOOSE({1,2},'NOVACART DATA'!$B$2:$B$1001,'NOVACART DATA'!$A$2:$A$1001),2,FALSE)</f>
        <v>45788</v>
      </c>
      <c r="B495" s="1">
        <v>1080</v>
      </c>
      <c r="C495" s="1">
        <f>VLOOKUP(B495,'NOVACART DATA'!$B$2:$C$1000,2,FALSE)</f>
        <v>68</v>
      </c>
      <c r="D495" s="1">
        <v>18</v>
      </c>
      <c r="E495" s="1" t="str">
        <f>VLOOKUP(B495,'NOVACART DATA'!$B$2:$M$1001,5,FALSE)</f>
        <v>Paid Search</v>
      </c>
      <c r="F495" s="1">
        <v>1</v>
      </c>
      <c r="G495" s="1">
        <v>44.01</v>
      </c>
      <c r="H495" s="1">
        <v>5</v>
      </c>
      <c r="I495" s="17">
        <f t="shared" si="7"/>
        <v>41.809499999999993</v>
      </c>
      <c r="J495" s="1">
        <f>VLOOKUP(B495,'NOVACART DATA'!$B$2:$N$1001,13,FALSE)</f>
        <v>0</v>
      </c>
    </row>
    <row r="496" spans="1:10">
      <c r="A496" s="2">
        <f>VLOOKUP(B496,CHOOSE({1,2},'NOVACART DATA'!$B$2:$B$1001,'NOVACART DATA'!$A$2:$A$1001),2,FALSE)</f>
        <v>45669</v>
      </c>
      <c r="B496" s="1">
        <v>1209</v>
      </c>
      <c r="C496" s="1">
        <f>VLOOKUP(B496,'NOVACART DATA'!$B$2:$C$1000,2,FALSE)</f>
        <v>68</v>
      </c>
      <c r="D496" s="1">
        <v>32</v>
      </c>
      <c r="E496" s="1" t="str">
        <f>VLOOKUP(B496,'NOVACART DATA'!$B$2:$M$1001,5,FALSE)</f>
        <v>Paid Search</v>
      </c>
      <c r="F496" s="1">
        <v>1</v>
      </c>
      <c r="G496" s="1">
        <v>61.06</v>
      </c>
      <c r="H496" s="1">
        <v>0</v>
      </c>
      <c r="I496" s="17">
        <f t="shared" si="7"/>
        <v>61.06</v>
      </c>
      <c r="J496" s="1">
        <f>VLOOKUP(B496,'NOVACART DATA'!$B$2:$N$1001,13,FALSE)</f>
        <v>0</v>
      </c>
    </row>
    <row r="497" spans="1:10">
      <c r="A497" s="2">
        <f>VLOOKUP(B497,CHOOSE({1,2},'NOVACART DATA'!$B$2:$B$1001,'NOVACART DATA'!$A$2:$A$1001),2,FALSE)</f>
        <v>46002</v>
      </c>
      <c r="B497" s="1">
        <v>1257</v>
      </c>
      <c r="C497" s="1">
        <f>VLOOKUP(B497,'NOVACART DATA'!$B$2:$C$1000,2,FALSE)</f>
        <v>68</v>
      </c>
      <c r="D497" s="1">
        <v>12</v>
      </c>
      <c r="E497" s="1" t="str">
        <f>VLOOKUP(B497,'NOVACART DATA'!$B$2:$M$1001,5,FALSE)</f>
        <v>Paid Search</v>
      </c>
      <c r="F497" s="1">
        <v>1</v>
      </c>
      <c r="G497" s="1">
        <v>8.4499999999999993</v>
      </c>
      <c r="H497" s="1">
        <v>10</v>
      </c>
      <c r="I497" s="17">
        <f t="shared" si="7"/>
        <v>7.6049999999999995</v>
      </c>
      <c r="J497" s="1">
        <f>VLOOKUP(B497,'NOVACART DATA'!$B$2:$N$1001,13,FALSE)</f>
        <v>0</v>
      </c>
    </row>
    <row r="498" spans="1:10">
      <c r="A498" s="2">
        <f>VLOOKUP(B498,CHOOSE({1,2},'NOVACART DATA'!$B$2:$B$1001,'NOVACART DATA'!$A$2:$A$1001),2,FALSE)</f>
        <v>46002</v>
      </c>
      <c r="B498" s="1">
        <v>1257</v>
      </c>
      <c r="C498" s="1">
        <f>VLOOKUP(B498,'NOVACART DATA'!$B$2:$C$1000,2,FALSE)</f>
        <v>68</v>
      </c>
      <c r="D498" s="1">
        <v>17</v>
      </c>
      <c r="E498" s="1" t="str">
        <f>VLOOKUP(B498,'NOVACART DATA'!$B$2:$M$1001,5,FALSE)</f>
        <v>Paid Search</v>
      </c>
      <c r="F498" s="1">
        <v>1</v>
      </c>
      <c r="G498" s="1">
        <v>6.61</v>
      </c>
      <c r="H498" s="1">
        <v>0</v>
      </c>
      <c r="I498" s="17">
        <f t="shared" si="7"/>
        <v>6.61</v>
      </c>
      <c r="J498" s="1">
        <f>VLOOKUP(B498,'NOVACART DATA'!$B$2:$N$1001,13,FALSE)</f>
        <v>0</v>
      </c>
    </row>
    <row r="499" spans="1:10">
      <c r="A499" s="2">
        <f>VLOOKUP(B499,CHOOSE({1,2},'NOVACART DATA'!$B$2:$B$1001,'NOVACART DATA'!$A$2:$A$1001),2,FALSE)</f>
        <v>46002</v>
      </c>
      <c r="B499" s="1">
        <v>1257</v>
      </c>
      <c r="C499" s="1">
        <f>VLOOKUP(B499,'NOVACART DATA'!$B$2:$C$1000,2,FALSE)</f>
        <v>68</v>
      </c>
      <c r="D499" s="1">
        <v>19</v>
      </c>
      <c r="E499" s="1" t="str">
        <f>VLOOKUP(B499,'NOVACART DATA'!$B$2:$M$1001,5,FALSE)</f>
        <v>Paid Search</v>
      </c>
      <c r="F499" s="1">
        <v>1</v>
      </c>
      <c r="G499" s="1">
        <v>50.14</v>
      </c>
      <c r="H499" s="1">
        <v>10</v>
      </c>
      <c r="I499" s="17">
        <f t="shared" si="7"/>
        <v>45.126000000000005</v>
      </c>
      <c r="J499" s="1">
        <f>VLOOKUP(B499,'NOVACART DATA'!$B$2:$N$1001,13,FALSE)</f>
        <v>0</v>
      </c>
    </row>
    <row r="500" spans="1:10">
      <c r="A500" s="2">
        <f>VLOOKUP(B500,CHOOSE({1,2},'NOVACART DATA'!$B$2:$B$1001,'NOVACART DATA'!$A$2:$A$1001),2,FALSE)</f>
        <v>46296</v>
      </c>
      <c r="B500" s="1">
        <v>1387</v>
      </c>
      <c r="C500" s="1">
        <f>VLOOKUP(B500,'NOVACART DATA'!$B$2:$C$1000,2,FALSE)</f>
        <v>69</v>
      </c>
      <c r="D500" s="1">
        <v>20</v>
      </c>
      <c r="E500" s="1" t="str">
        <f>VLOOKUP(B500,'NOVACART DATA'!$B$2:$M$1001,5,FALSE)</f>
        <v>Email</v>
      </c>
      <c r="F500" s="1">
        <v>1</v>
      </c>
      <c r="G500" s="1">
        <v>32.76</v>
      </c>
      <c r="H500" s="1">
        <v>15</v>
      </c>
      <c r="I500" s="17">
        <f t="shared" si="7"/>
        <v>27.845999999999997</v>
      </c>
      <c r="J500" s="1">
        <f>VLOOKUP(B500,'NOVACART DATA'!$B$2:$N$1001,13,FALSE)</f>
        <v>0</v>
      </c>
    </row>
    <row r="501" spans="1:10">
      <c r="A501" s="2">
        <f>VLOOKUP(B501,CHOOSE({1,2},'NOVACART DATA'!$B$2:$B$1001,'NOVACART DATA'!$A$2:$A$1001),2,FALSE)</f>
        <v>46357</v>
      </c>
      <c r="B501" s="1">
        <v>1397</v>
      </c>
      <c r="C501" s="1">
        <f>VLOOKUP(B501,'NOVACART DATA'!$B$2:$C$1000,2,FALSE)</f>
        <v>69</v>
      </c>
      <c r="D501" s="1">
        <v>13</v>
      </c>
      <c r="E501" s="1" t="str">
        <f>VLOOKUP(B501,'NOVACART DATA'!$B$2:$M$1001,5,FALSE)</f>
        <v>Email</v>
      </c>
      <c r="F501" s="1">
        <v>1</v>
      </c>
      <c r="G501" s="1">
        <v>54.9</v>
      </c>
      <c r="H501" s="1">
        <v>20</v>
      </c>
      <c r="I501" s="17">
        <f t="shared" si="7"/>
        <v>43.92</v>
      </c>
      <c r="J501" s="1">
        <f>VLOOKUP(B501,'NOVACART DATA'!$B$2:$N$1001,13,FALSE)</f>
        <v>0</v>
      </c>
    </row>
    <row r="502" spans="1:10">
      <c r="A502" s="2">
        <f>VLOOKUP(B502,CHOOSE({1,2},'NOVACART DATA'!$B$2:$B$1001,'NOVACART DATA'!$A$2:$A$1001),2,FALSE)</f>
        <v>46357</v>
      </c>
      <c r="B502" s="1">
        <v>1397</v>
      </c>
      <c r="C502" s="1">
        <f>VLOOKUP(B502,'NOVACART DATA'!$B$2:$C$1000,2,FALSE)</f>
        <v>69</v>
      </c>
      <c r="D502" s="1">
        <v>12</v>
      </c>
      <c r="E502" s="1" t="str">
        <f>VLOOKUP(B502,'NOVACART DATA'!$B$2:$M$1001,5,FALSE)</f>
        <v>Email</v>
      </c>
      <c r="F502" s="1">
        <v>1</v>
      </c>
      <c r="G502" s="1">
        <v>8.4499999999999993</v>
      </c>
      <c r="H502" s="1">
        <v>20</v>
      </c>
      <c r="I502" s="17">
        <f t="shared" si="7"/>
        <v>6.76</v>
      </c>
      <c r="J502" s="1">
        <f>VLOOKUP(B502,'NOVACART DATA'!$B$2:$N$1001,13,FALSE)</f>
        <v>0</v>
      </c>
    </row>
    <row r="503" spans="1:10">
      <c r="A503" s="2">
        <f>VLOOKUP(B503,CHOOSE({1,2},'NOVACART DATA'!$B$2:$B$1001,'NOVACART DATA'!$A$2:$A$1001),2,FALSE)</f>
        <v>45988</v>
      </c>
      <c r="B503" s="1">
        <v>1187</v>
      </c>
      <c r="C503" s="1">
        <f>VLOOKUP(B503,'NOVACART DATA'!$B$2:$C$1000,2,FALSE)</f>
        <v>70</v>
      </c>
      <c r="D503" s="1">
        <v>29</v>
      </c>
      <c r="E503" s="1" t="str">
        <f>VLOOKUP(B503,'NOVACART DATA'!$B$2:$M$1001,5,FALSE)</f>
        <v>Referral</v>
      </c>
      <c r="F503" s="1">
        <v>1</v>
      </c>
      <c r="G503" s="1">
        <v>45.67</v>
      </c>
      <c r="H503" s="1">
        <v>0</v>
      </c>
      <c r="I503" s="17">
        <f t="shared" si="7"/>
        <v>45.67</v>
      </c>
      <c r="J503" s="1">
        <f>VLOOKUP(B503,'NOVACART DATA'!$B$2:$N$1001,13,FALSE)</f>
        <v>0</v>
      </c>
    </row>
    <row r="504" spans="1:10">
      <c r="A504" s="2">
        <f>VLOOKUP(B504,CHOOSE({1,2},'NOVACART DATA'!$B$2:$B$1001,'NOVACART DATA'!$A$2:$A$1001),2,FALSE)</f>
        <v>46016</v>
      </c>
      <c r="B504" s="1">
        <v>1258</v>
      </c>
      <c r="C504" s="1">
        <f>VLOOKUP(B504,'NOVACART DATA'!$B$2:$C$1000,2,FALSE)</f>
        <v>70</v>
      </c>
      <c r="D504" s="1">
        <v>11</v>
      </c>
      <c r="E504" s="1" t="str">
        <f>VLOOKUP(B504,'NOVACART DATA'!$B$2:$M$1001,5,FALSE)</f>
        <v>Referral</v>
      </c>
      <c r="F504" s="1">
        <v>1</v>
      </c>
      <c r="G504" s="1">
        <v>58.35</v>
      </c>
      <c r="H504" s="1">
        <v>0</v>
      </c>
      <c r="I504" s="17">
        <f t="shared" si="7"/>
        <v>58.35</v>
      </c>
      <c r="J504" s="1">
        <f>VLOOKUP(B504,'NOVACART DATA'!$B$2:$N$1001,13,FALSE)</f>
        <v>0</v>
      </c>
    </row>
    <row r="505" spans="1:10">
      <c r="A505" s="2">
        <f>VLOOKUP(B505,CHOOSE({1,2},'NOVACART DATA'!$B$2:$B$1001,'NOVACART DATA'!$A$2:$A$1001),2,FALSE)</f>
        <v>46016</v>
      </c>
      <c r="B505" s="1">
        <v>1258</v>
      </c>
      <c r="C505" s="1">
        <f>VLOOKUP(B505,'NOVACART DATA'!$B$2:$C$1000,2,FALSE)</f>
        <v>70</v>
      </c>
      <c r="D505" s="1">
        <v>31</v>
      </c>
      <c r="E505" s="1" t="str">
        <f>VLOOKUP(B505,'NOVACART DATA'!$B$2:$M$1001,5,FALSE)</f>
        <v>Referral</v>
      </c>
      <c r="F505" s="1">
        <v>1</v>
      </c>
      <c r="G505" s="1">
        <v>57.51</v>
      </c>
      <c r="H505" s="1">
        <v>0</v>
      </c>
      <c r="I505" s="17">
        <f t="shared" si="7"/>
        <v>57.51</v>
      </c>
      <c r="J505" s="1">
        <f>VLOOKUP(B505,'NOVACART DATA'!$B$2:$N$1001,13,FALSE)</f>
        <v>0</v>
      </c>
    </row>
    <row r="506" spans="1:10">
      <c r="A506" s="2">
        <f>VLOOKUP(B506,CHOOSE({1,2},'NOVACART DATA'!$B$2:$B$1001,'NOVACART DATA'!$A$2:$A$1001),2,FALSE)</f>
        <v>46016</v>
      </c>
      <c r="B506" s="1">
        <v>1258</v>
      </c>
      <c r="C506" s="1">
        <f>VLOOKUP(B506,'NOVACART DATA'!$B$2:$C$1000,2,FALSE)</f>
        <v>70</v>
      </c>
      <c r="D506" s="1">
        <v>31</v>
      </c>
      <c r="E506" s="1" t="str">
        <f>VLOOKUP(B506,'NOVACART DATA'!$B$2:$M$1001,5,FALSE)</f>
        <v>Referral</v>
      </c>
      <c r="F506" s="1">
        <v>1</v>
      </c>
      <c r="G506" s="1">
        <v>57.51</v>
      </c>
      <c r="H506" s="1">
        <v>0</v>
      </c>
      <c r="I506" s="17">
        <f t="shared" si="7"/>
        <v>57.51</v>
      </c>
      <c r="J506" s="1">
        <f>VLOOKUP(B506,'NOVACART DATA'!$B$2:$N$1001,13,FALSE)</f>
        <v>0</v>
      </c>
    </row>
    <row r="507" spans="1:10">
      <c r="A507" s="2">
        <f>VLOOKUP(B507,CHOOSE({1,2},'NOVACART DATA'!$B$2:$B$1001,'NOVACART DATA'!$A$2:$A$1001),2,FALSE)</f>
        <v>46017</v>
      </c>
      <c r="B507" s="1">
        <v>1331</v>
      </c>
      <c r="C507" s="1">
        <f>VLOOKUP(B507,'NOVACART DATA'!$B$2:$C$1000,2,FALSE)</f>
        <v>70</v>
      </c>
      <c r="D507" s="1">
        <v>5</v>
      </c>
      <c r="E507" s="1" t="str">
        <f>VLOOKUP(B507,'NOVACART DATA'!$B$2:$M$1001,5,FALSE)</f>
        <v>Referral</v>
      </c>
      <c r="F507" s="1">
        <v>3</v>
      </c>
      <c r="G507" s="1">
        <v>42.53</v>
      </c>
      <c r="H507" s="1">
        <v>0</v>
      </c>
      <c r="I507" s="17">
        <f t="shared" si="7"/>
        <v>127.59</v>
      </c>
      <c r="J507" s="1">
        <f>VLOOKUP(B507,'NOVACART DATA'!$B$2:$N$1001,13,FALSE)</f>
        <v>0</v>
      </c>
    </row>
    <row r="508" spans="1:10">
      <c r="A508" s="2">
        <f>VLOOKUP(B508,CHOOSE({1,2},'NOVACART DATA'!$B$2:$B$1001,'NOVACART DATA'!$A$2:$A$1001),2,FALSE)</f>
        <v>46017</v>
      </c>
      <c r="B508" s="1">
        <v>1331</v>
      </c>
      <c r="C508" s="1">
        <f>VLOOKUP(B508,'NOVACART DATA'!$B$2:$C$1000,2,FALSE)</f>
        <v>70</v>
      </c>
      <c r="D508" s="1">
        <v>20</v>
      </c>
      <c r="E508" s="1" t="str">
        <f>VLOOKUP(B508,'NOVACART DATA'!$B$2:$M$1001,5,FALSE)</f>
        <v>Referral</v>
      </c>
      <c r="F508" s="1">
        <v>1</v>
      </c>
      <c r="G508" s="1">
        <v>32.76</v>
      </c>
      <c r="H508" s="1">
        <v>0</v>
      </c>
      <c r="I508" s="17">
        <f t="shared" si="7"/>
        <v>32.76</v>
      </c>
      <c r="J508" s="1">
        <f>VLOOKUP(B508,'NOVACART DATA'!$B$2:$N$1001,13,FALSE)</f>
        <v>0</v>
      </c>
    </row>
    <row r="509" spans="1:10">
      <c r="A509" s="2">
        <f>VLOOKUP(B509,CHOOSE({1,2},'NOVACART DATA'!$B$2:$B$1001,'NOVACART DATA'!$A$2:$A$1001),2,FALSE)</f>
        <v>46235</v>
      </c>
      <c r="B509" s="1">
        <v>1380</v>
      </c>
      <c r="C509" s="1">
        <f>VLOOKUP(B509,'NOVACART DATA'!$B$2:$C$1000,2,FALSE)</f>
        <v>70</v>
      </c>
      <c r="D509" s="1">
        <v>23</v>
      </c>
      <c r="E509" s="1" t="str">
        <f>VLOOKUP(B509,'NOVACART DATA'!$B$2:$M$1001,5,FALSE)</f>
        <v>Referral</v>
      </c>
      <c r="F509" s="1">
        <v>1</v>
      </c>
      <c r="G509" s="1">
        <v>38.14</v>
      </c>
      <c r="H509" s="1">
        <v>10</v>
      </c>
      <c r="I509" s="17">
        <f t="shared" si="7"/>
        <v>34.326000000000001</v>
      </c>
      <c r="J509" s="1">
        <f>VLOOKUP(B509,'NOVACART DATA'!$B$2:$N$1001,13,FALSE)</f>
        <v>1</v>
      </c>
    </row>
    <row r="510" spans="1:10">
      <c r="A510" s="2">
        <f>VLOOKUP(B510,CHOOSE({1,2},'NOVACART DATA'!$B$2:$B$1001,'NOVACART DATA'!$A$2:$A$1001),2,FALSE)</f>
        <v>46235</v>
      </c>
      <c r="B510" s="1">
        <v>1380</v>
      </c>
      <c r="C510" s="1">
        <f>VLOOKUP(B510,'NOVACART DATA'!$B$2:$C$1000,2,FALSE)</f>
        <v>70</v>
      </c>
      <c r="D510" s="1">
        <v>40</v>
      </c>
      <c r="E510" s="1" t="str">
        <f>VLOOKUP(B510,'NOVACART DATA'!$B$2:$M$1001,5,FALSE)</f>
        <v>Referral</v>
      </c>
      <c r="F510" s="1">
        <v>1</v>
      </c>
      <c r="G510" s="1">
        <v>47.25</v>
      </c>
      <c r="H510" s="1">
        <v>10</v>
      </c>
      <c r="I510" s="17">
        <f t="shared" si="7"/>
        <v>42.524999999999999</v>
      </c>
      <c r="J510" s="1">
        <f>VLOOKUP(B510,'NOVACART DATA'!$B$2:$N$1001,13,FALSE)</f>
        <v>1</v>
      </c>
    </row>
    <row r="511" spans="1:10">
      <c r="A511" s="2">
        <f>VLOOKUP(B511,CHOOSE({1,2},'NOVACART DATA'!$B$2:$B$1001,'NOVACART DATA'!$A$2:$A$1001),2,FALSE)</f>
        <v>46076</v>
      </c>
      <c r="B511" s="1">
        <v>1524</v>
      </c>
      <c r="C511" s="1">
        <f>VLOOKUP(B511,'NOVACART DATA'!$B$2:$C$1000,2,FALSE)</f>
        <v>70</v>
      </c>
      <c r="D511" s="1">
        <v>1</v>
      </c>
      <c r="E511" s="1" t="str">
        <f>VLOOKUP(B511,'NOVACART DATA'!$B$2:$M$1001,5,FALSE)</f>
        <v>Referral</v>
      </c>
      <c r="F511" s="1">
        <v>1</v>
      </c>
      <c r="G511" s="1">
        <v>47.45</v>
      </c>
      <c r="H511" s="1">
        <v>0</v>
      </c>
      <c r="I511" s="17">
        <f t="shared" si="7"/>
        <v>47.45</v>
      </c>
      <c r="J511" s="1">
        <f>VLOOKUP(B511,'NOVACART DATA'!$B$2:$N$1001,13,FALSE)</f>
        <v>0</v>
      </c>
    </row>
    <row r="512" spans="1:10">
      <c r="A512" s="2">
        <f>VLOOKUP(B512,CHOOSE({1,2},'NOVACART DATA'!$B$2:$B$1001,'NOVACART DATA'!$A$2:$A$1001),2,FALSE)</f>
        <v>46076</v>
      </c>
      <c r="B512" s="1">
        <v>1524</v>
      </c>
      <c r="C512" s="1">
        <f>VLOOKUP(B512,'NOVACART DATA'!$B$2:$C$1000,2,FALSE)</f>
        <v>70</v>
      </c>
      <c r="D512" s="1">
        <v>32</v>
      </c>
      <c r="E512" s="1" t="str">
        <f>VLOOKUP(B512,'NOVACART DATA'!$B$2:$M$1001,5,FALSE)</f>
        <v>Referral</v>
      </c>
      <c r="F512" s="1">
        <v>1</v>
      </c>
      <c r="G512" s="1">
        <v>61.06</v>
      </c>
      <c r="H512" s="1">
        <v>0</v>
      </c>
      <c r="I512" s="17">
        <f t="shared" si="7"/>
        <v>61.06</v>
      </c>
      <c r="J512" s="1">
        <f>VLOOKUP(B512,'NOVACART DATA'!$B$2:$N$1001,13,FALSE)</f>
        <v>0</v>
      </c>
    </row>
    <row r="513" spans="1:10">
      <c r="A513" s="2">
        <f>VLOOKUP(B513,CHOOSE({1,2},'NOVACART DATA'!$B$2:$B$1001,'NOVACART DATA'!$A$2:$A$1001),2,FALSE)</f>
        <v>46076</v>
      </c>
      <c r="B513" s="1">
        <v>1524</v>
      </c>
      <c r="C513" s="1">
        <f>VLOOKUP(B513,'NOVACART DATA'!$B$2:$C$1000,2,FALSE)</f>
        <v>70</v>
      </c>
      <c r="D513" s="1">
        <v>39</v>
      </c>
      <c r="E513" s="1" t="str">
        <f>VLOOKUP(B513,'NOVACART DATA'!$B$2:$M$1001,5,FALSE)</f>
        <v>Referral</v>
      </c>
      <c r="F513" s="1">
        <v>1</v>
      </c>
      <c r="G513" s="1">
        <v>39.979999999999997</v>
      </c>
      <c r="H513" s="1">
        <v>0</v>
      </c>
      <c r="I513" s="17">
        <f t="shared" si="7"/>
        <v>39.979999999999997</v>
      </c>
      <c r="J513" s="1">
        <f>VLOOKUP(B513,'NOVACART DATA'!$B$2:$N$1001,13,FALSE)</f>
        <v>0</v>
      </c>
    </row>
    <row r="514" spans="1:10">
      <c r="A514" s="2">
        <f>VLOOKUP(B514,CHOOSE({1,2},'NOVACART DATA'!$B$2:$B$1001,'NOVACART DATA'!$A$2:$A$1001),2,FALSE)</f>
        <v>46040</v>
      </c>
      <c r="B514" s="1">
        <v>1413</v>
      </c>
      <c r="C514" s="1">
        <f>VLOOKUP(B514,'NOVACART DATA'!$B$2:$C$1000,2,FALSE)</f>
        <v>71</v>
      </c>
      <c r="D514" s="1">
        <v>38</v>
      </c>
      <c r="E514" s="1" t="str">
        <f>VLOOKUP(B514,'NOVACART DATA'!$B$2:$M$1001,5,FALSE)</f>
        <v>Referral</v>
      </c>
      <c r="F514" s="1">
        <v>1</v>
      </c>
      <c r="G514" s="1">
        <v>25.14</v>
      </c>
      <c r="H514" s="1">
        <v>0</v>
      </c>
      <c r="I514" s="17">
        <f t="shared" ref="I514:I577" si="8">F514*G514*(1-H514/100)</f>
        <v>25.14</v>
      </c>
      <c r="J514" s="1">
        <f>VLOOKUP(B514,'NOVACART DATA'!$B$2:$N$1001,13,FALSE)</f>
        <v>0</v>
      </c>
    </row>
    <row r="515" spans="1:10">
      <c r="A515" s="2">
        <f>VLOOKUP(B515,CHOOSE({1,2},'NOVACART DATA'!$B$2:$B$1001,'NOVACART DATA'!$A$2:$A$1001),2,FALSE)</f>
        <v>45979</v>
      </c>
      <c r="B515" s="1">
        <v>1146</v>
      </c>
      <c r="C515" s="1">
        <f>VLOOKUP(B515,'NOVACART DATA'!$B$2:$C$1000,2,FALSE)</f>
        <v>72</v>
      </c>
      <c r="D515" s="1">
        <v>31</v>
      </c>
      <c r="E515" s="1" t="str">
        <f>VLOOKUP(B515,'NOVACART DATA'!$B$2:$M$1001,5,FALSE)</f>
        <v>Email</v>
      </c>
      <c r="F515" s="1">
        <v>1</v>
      </c>
      <c r="G515" s="1">
        <v>57.51</v>
      </c>
      <c r="H515" s="1">
        <v>0</v>
      </c>
      <c r="I515" s="17">
        <f t="shared" si="8"/>
        <v>57.51</v>
      </c>
      <c r="J515" s="1">
        <f>VLOOKUP(B515,'NOVACART DATA'!$B$2:$N$1001,13,FALSE)</f>
        <v>0</v>
      </c>
    </row>
    <row r="516" spans="1:10">
      <c r="A516" s="2">
        <f>VLOOKUP(B516,CHOOSE({1,2},'NOVACART DATA'!$B$2:$B$1001,'NOVACART DATA'!$A$2:$A$1001),2,FALSE)</f>
        <v>45881</v>
      </c>
      <c r="B516" s="1">
        <v>1238</v>
      </c>
      <c r="C516" s="1">
        <f>VLOOKUP(B516,'NOVACART DATA'!$B$2:$C$1000,2,FALSE)</f>
        <v>72</v>
      </c>
      <c r="D516" s="1">
        <v>12</v>
      </c>
      <c r="E516" s="1" t="str">
        <f>VLOOKUP(B516,'NOVACART DATA'!$B$2:$M$1001,5,FALSE)</f>
        <v>Email</v>
      </c>
      <c r="F516" s="1">
        <v>1</v>
      </c>
      <c r="G516" s="1">
        <v>8.4499999999999993</v>
      </c>
      <c r="H516" s="1">
        <v>0</v>
      </c>
      <c r="I516" s="17">
        <f t="shared" si="8"/>
        <v>8.4499999999999993</v>
      </c>
      <c r="J516" s="1">
        <f>VLOOKUP(B516,'NOVACART DATA'!$B$2:$N$1001,13,FALSE)</f>
        <v>0</v>
      </c>
    </row>
    <row r="517" spans="1:10">
      <c r="A517" s="2">
        <f>VLOOKUP(B517,CHOOSE({1,2},'NOVACART DATA'!$B$2:$B$1001,'NOVACART DATA'!$A$2:$A$1001),2,FALSE)</f>
        <v>45881</v>
      </c>
      <c r="B517" s="1">
        <v>1238</v>
      </c>
      <c r="C517" s="1">
        <f>VLOOKUP(B517,'NOVACART DATA'!$B$2:$C$1000,2,FALSE)</f>
        <v>72</v>
      </c>
      <c r="D517" s="1">
        <v>3</v>
      </c>
      <c r="E517" s="1" t="str">
        <f>VLOOKUP(B517,'NOVACART DATA'!$B$2:$M$1001,5,FALSE)</f>
        <v>Email</v>
      </c>
      <c r="F517" s="1">
        <v>3</v>
      </c>
      <c r="G517" s="1">
        <v>25.47</v>
      </c>
      <c r="H517" s="1">
        <v>0</v>
      </c>
      <c r="I517" s="17">
        <f t="shared" si="8"/>
        <v>76.41</v>
      </c>
      <c r="J517" s="1">
        <f>VLOOKUP(B517,'NOVACART DATA'!$B$2:$N$1001,13,FALSE)</f>
        <v>0</v>
      </c>
    </row>
    <row r="518" spans="1:10">
      <c r="A518" s="2">
        <f>VLOOKUP(B518,CHOOSE({1,2},'NOVACART DATA'!$B$2:$B$1001,'NOVACART DATA'!$A$2:$A$1001),2,FALSE)</f>
        <v>45881</v>
      </c>
      <c r="B518" s="1">
        <v>1238</v>
      </c>
      <c r="C518" s="1">
        <f>VLOOKUP(B518,'NOVACART DATA'!$B$2:$C$1000,2,FALSE)</f>
        <v>72</v>
      </c>
      <c r="D518" s="1">
        <v>34</v>
      </c>
      <c r="E518" s="1" t="str">
        <f>VLOOKUP(B518,'NOVACART DATA'!$B$2:$M$1001,5,FALSE)</f>
        <v>Email</v>
      </c>
      <c r="F518" s="1">
        <v>2</v>
      </c>
      <c r="G518" s="1">
        <v>58.26</v>
      </c>
      <c r="H518" s="1">
        <v>0</v>
      </c>
      <c r="I518" s="17">
        <f t="shared" si="8"/>
        <v>116.52</v>
      </c>
      <c r="J518" s="1">
        <f>VLOOKUP(B518,'NOVACART DATA'!$B$2:$N$1001,13,FALSE)</f>
        <v>0</v>
      </c>
    </row>
    <row r="519" spans="1:10">
      <c r="A519" s="2">
        <f>VLOOKUP(B519,CHOOSE({1,2},'NOVACART DATA'!$B$2:$B$1001,'NOVACART DATA'!$A$2:$A$1001),2,FALSE)</f>
        <v>46006</v>
      </c>
      <c r="B519" s="1">
        <v>1283</v>
      </c>
      <c r="C519" s="1">
        <f>VLOOKUP(B519,'NOVACART DATA'!$B$2:$C$1000,2,FALSE)</f>
        <v>72</v>
      </c>
      <c r="D519" s="1">
        <v>6</v>
      </c>
      <c r="E519" s="1" t="str">
        <f>VLOOKUP(B519,'NOVACART DATA'!$B$2:$M$1001,5,FALSE)</f>
        <v>Email</v>
      </c>
      <c r="F519" s="1">
        <v>1</v>
      </c>
      <c r="G519" s="1">
        <v>70.47</v>
      </c>
      <c r="H519" s="1">
        <v>0</v>
      </c>
      <c r="I519" s="17">
        <f t="shared" si="8"/>
        <v>70.47</v>
      </c>
      <c r="J519" s="1">
        <f>VLOOKUP(B519,'NOVACART DATA'!$B$2:$N$1001,13,FALSE)</f>
        <v>0</v>
      </c>
    </row>
    <row r="520" spans="1:10">
      <c r="A520" s="2">
        <f>VLOOKUP(B520,CHOOSE({1,2},'NOVACART DATA'!$B$2:$B$1001,'NOVACART DATA'!$A$2:$A$1001),2,FALSE)</f>
        <v>46019</v>
      </c>
      <c r="B520" s="1">
        <v>1343</v>
      </c>
      <c r="C520" s="1">
        <f>VLOOKUP(B520,'NOVACART DATA'!$B$2:$C$1000,2,FALSE)</f>
        <v>72</v>
      </c>
      <c r="D520" s="1">
        <v>40</v>
      </c>
      <c r="E520" s="1" t="str">
        <f>VLOOKUP(B520,'NOVACART DATA'!$B$2:$M$1001,5,FALSE)</f>
        <v>Email</v>
      </c>
      <c r="F520" s="1">
        <v>1</v>
      </c>
      <c r="G520" s="1">
        <v>47.25</v>
      </c>
      <c r="H520" s="1">
        <v>0</v>
      </c>
      <c r="I520" s="17">
        <f t="shared" si="8"/>
        <v>47.25</v>
      </c>
      <c r="J520" s="1">
        <f>VLOOKUP(B520,'NOVACART DATA'!$B$2:$N$1001,13,FALSE)</f>
        <v>0</v>
      </c>
    </row>
    <row r="521" spans="1:10">
      <c r="A521" s="2">
        <f>VLOOKUP(B521,CHOOSE({1,2},'NOVACART DATA'!$B$2:$B$1001,'NOVACART DATA'!$A$2:$A$1001),2,FALSE)</f>
        <v>45989</v>
      </c>
      <c r="B521" s="1">
        <v>1190</v>
      </c>
      <c r="C521" s="1">
        <f>VLOOKUP(B521,'NOVACART DATA'!$B$2:$C$1000,2,FALSE)</f>
        <v>73</v>
      </c>
      <c r="D521" s="1">
        <v>21</v>
      </c>
      <c r="E521" s="1" t="str">
        <f>VLOOKUP(B521,'NOVACART DATA'!$B$2:$M$1001,5,FALSE)</f>
        <v>Email</v>
      </c>
      <c r="F521" s="1">
        <v>2</v>
      </c>
      <c r="G521" s="1">
        <v>49.37</v>
      </c>
      <c r="H521" s="1">
        <v>0</v>
      </c>
      <c r="I521" s="17">
        <f t="shared" si="8"/>
        <v>98.74</v>
      </c>
      <c r="J521" s="1">
        <f>VLOOKUP(B521,'NOVACART DATA'!$B$2:$N$1001,13,FALSE)</f>
        <v>0</v>
      </c>
    </row>
    <row r="522" spans="1:10">
      <c r="A522" s="2">
        <f>VLOOKUP(B522,CHOOSE({1,2},'NOVACART DATA'!$B$2:$B$1001,'NOVACART DATA'!$A$2:$A$1001),2,FALSE)</f>
        <v>46013</v>
      </c>
      <c r="B522" s="1">
        <v>1308</v>
      </c>
      <c r="C522" s="1">
        <f>VLOOKUP(B522,'NOVACART DATA'!$B$2:$C$1000,2,FALSE)</f>
        <v>74</v>
      </c>
      <c r="D522" s="1">
        <v>23</v>
      </c>
      <c r="E522" s="1" t="str">
        <f>VLOOKUP(B522,'NOVACART DATA'!$B$2:$M$1001,5,FALSE)</f>
        <v>Direct</v>
      </c>
      <c r="F522" s="1">
        <v>1</v>
      </c>
      <c r="G522" s="1">
        <v>38.14</v>
      </c>
      <c r="H522" s="1">
        <v>0</v>
      </c>
      <c r="I522" s="17">
        <f t="shared" si="8"/>
        <v>38.14</v>
      </c>
      <c r="J522" s="1">
        <f>VLOOKUP(B522,'NOVACART DATA'!$B$2:$N$1001,13,FALSE)</f>
        <v>0</v>
      </c>
    </row>
    <row r="523" spans="1:10">
      <c r="A523" s="2">
        <f>VLOOKUP(B523,CHOOSE({1,2},'NOVACART DATA'!$B$2:$B$1001,'NOVACART DATA'!$A$2:$A$1001),2,FALSE)</f>
        <v>46013</v>
      </c>
      <c r="B523" s="1">
        <v>1308</v>
      </c>
      <c r="C523" s="1">
        <f>VLOOKUP(B523,'NOVACART DATA'!$B$2:$C$1000,2,FALSE)</f>
        <v>74</v>
      </c>
      <c r="D523" s="1">
        <v>40</v>
      </c>
      <c r="E523" s="1" t="str">
        <f>VLOOKUP(B523,'NOVACART DATA'!$B$2:$M$1001,5,FALSE)</f>
        <v>Direct</v>
      </c>
      <c r="F523" s="1">
        <v>3</v>
      </c>
      <c r="G523" s="1">
        <v>47.25</v>
      </c>
      <c r="H523" s="1">
        <v>0</v>
      </c>
      <c r="I523" s="17">
        <f t="shared" si="8"/>
        <v>141.75</v>
      </c>
      <c r="J523" s="1">
        <f>VLOOKUP(B523,'NOVACART DATA'!$B$2:$N$1001,13,FALSE)</f>
        <v>0</v>
      </c>
    </row>
    <row r="524" spans="1:10">
      <c r="A524" s="2">
        <f>VLOOKUP(B524,CHOOSE({1,2},'NOVACART DATA'!$B$2:$B$1001,'NOVACART DATA'!$A$2:$A$1001),2,FALSE)</f>
        <v>46013</v>
      </c>
      <c r="B524" s="1">
        <v>1308</v>
      </c>
      <c r="C524" s="1">
        <f>VLOOKUP(B524,'NOVACART DATA'!$B$2:$C$1000,2,FALSE)</f>
        <v>74</v>
      </c>
      <c r="D524" s="1">
        <v>22</v>
      </c>
      <c r="E524" s="1" t="str">
        <f>VLOOKUP(B524,'NOVACART DATA'!$B$2:$M$1001,5,FALSE)</f>
        <v>Direct</v>
      </c>
      <c r="F524" s="1">
        <v>1</v>
      </c>
      <c r="G524" s="1">
        <v>29.98</v>
      </c>
      <c r="H524" s="1">
        <v>0</v>
      </c>
      <c r="I524" s="17">
        <f t="shared" si="8"/>
        <v>29.98</v>
      </c>
      <c r="J524" s="1">
        <f>VLOOKUP(B524,'NOVACART DATA'!$B$2:$N$1001,13,FALSE)</f>
        <v>0</v>
      </c>
    </row>
    <row r="525" spans="1:10">
      <c r="A525" s="2">
        <f>VLOOKUP(B525,CHOOSE({1,2},'NOVACART DATA'!$B$2:$B$1001,'NOVACART DATA'!$A$2:$A$1001),2,FALSE)</f>
        <v>46013</v>
      </c>
      <c r="B525" s="1">
        <v>1308</v>
      </c>
      <c r="C525" s="1">
        <f>VLOOKUP(B525,'NOVACART DATA'!$B$2:$C$1000,2,FALSE)</f>
        <v>74</v>
      </c>
      <c r="D525" s="1">
        <v>37</v>
      </c>
      <c r="E525" s="1" t="str">
        <f>VLOOKUP(B525,'NOVACART DATA'!$B$2:$M$1001,5,FALSE)</f>
        <v>Direct</v>
      </c>
      <c r="F525" s="1">
        <v>2</v>
      </c>
      <c r="G525" s="1">
        <v>52.67</v>
      </c>
      <c r="H525" s="1">
        <v>0</v>
      </c>
      <c r="I525" s="17">
        <f t="shared" si="8"/>
        <v>105.34</v>
      </c>
      <c r="J525" s="1">
        <f>VLOOKUP(B525,'NOVACART DATA'!$B$2:$N$1001,13,FALSE)</f>
        <v>0</v>
      </c>
    </row>
    <row r="526" spans="1:10">
      <c r="A526" s="2">
        <f>VLOOKUP(B526,CHOOSE({1,2},'NOVACART DATA'!$B$2:$B$1001,'NOVACART DATA'!$A$2:$A$1001),2,FALSE)</f>
        <v>45819</v>
      </c>
      <c r="B526" s="1">
        <v>1084</v>
      </c>
      <c r="C526" s="1">
        <f>VLOOKUP(B526,'NOVACART DATA'!$B$2:$C$1000,2,FALSE)</f>
        <v>75</v>
      </c>
      <c r="D526" s="1">
        <v>17</v>
      </c>
      <c r="E526" s="1" t="str">
        <f>VLOOKUP(B526,'NOVACART DATA'!$B$2:$M$1001,5,FALSE)</f>
        <v>Organic</v>
      </c>
      <c r="F526" s="1">
        <v>2</v>
      </c>
      <c r="G526" s="1">
        <v>6.61</v>
      </c>
      <c r="H526" s="1">
        <v>0</v>
      </c>
      <c r="I526" s="17">
        <f t="shared" si="8"/>
        <v>13.22</v>
      </c>
      <c r="J526" s="1">
        <f>VLOOKUP(B526,'NOVACART DATA'!$B$2:$N$1001,13,FALSE)</f>
        <v>0</v>
      </c>
    </row>
    <row r="527" spans="1:10">
      <c r="A527" s="2">
        <f>VLOOKUP(B527,CHOOSE({1,2},'NOVACART DATA'!$B$2:$B$1001,'NOVACART DATA'!$A$2:$A$1001),2,FALSE)</f>
        <v>45819</v>
      </c>
      <c r="B527" s="1">
        <v>1084</v>
      </c>
      <c r="C527" s="1">
        <f>VLOOKUP(B527,'NOVACART DATA'!$B$2:$C$1000,2,FALSE)</f>
        <v>75</v>
      </c>
      <c r="D527" s="1">
        <v>32</v>
      </c>
      <c r="E527" s="1" t="str">
        <f>VLOOKUP(B527,'NOVACART DATA'!$B$2:$M$1001,5,FALSE)</f>
        <v>Organic</v>
      </c>
      <c r="F527" s="1">
        <v>1</v>
      </c>
      <c r="G527" s="1">
        <v>61.06</v>
      </c>
      <c r="H527" s="1">
        <v>5</v>
      </c>
      <c r="I527" s="17">
        <f t="shared" si="8"/>
        <v>58.006999999999998</v>
      </c>
      <c r="J527" s="1">
        <f>VLOOKUP(B527,'NOVACART DATA'!$B$2:$N$1001,13,FALSE)</f>
        <v>0</v>
      </c>
    </row>
    <row r="528" spans="1:10">
      <c r="A528" s="2">
        <f>VLOOKUP(B528,CHOOSE({1,2},'NOVACART DATA'!$B$2:$B$1001,'NOVACART DATA'!$A$2:$A$1001),2,FALSE)</f>
        <v>45986</v>
      </c>
      <c r="B528" s="1">
        <v>1175</v>
      </c>
      <c r="C528" s="1">
        <f>VLOOKUP(B528,'NOVACART DATA'!$B$2:$C$1000,2,FALSE)</f>
        <v>75</v>
      </c>
      <c r="D528" s="1">
        <v>4</v>
      </c>
      <c r="E528" s="1" t="str">
        <f>VLOOKUP(B528,'NOVACART DATA'!$B$2:$M$1001,5,FALSE)</f>
        <v>Organic</v>
      </c>
      <c r="F528" s="1">
        <v>1</v>
      </c>
      <c r="G528" s="1">
        <v>34.83</v>
      </c>
      <c r="H528" s="1">
        <v>5.5</v>
      </c>
      <c r="I528" s="17">
        <f t="shared" si="8"/>
        <v>32.914349999999999</v>
      </c>
      <c r="J528" s="1">
        <f>VLOOKUP(B528,'NOVACART DATA'!$B$2:$N$1001,13,FALSE)</f>
        <v>0</v>
      </c>
    </row>
    <row r="529" spans="1:10">
      <c r="A529" s="2">
        <f>VLOOKUP(B529,CHOOSE({1,2},'NOVACART DATA'!$B$2:$B$1001,'NOVACART DATA'!$A$2:$A$1001),2,FALSE)</f>
        <v>45989</v>
      </c>
      <c r="B529" s="1">
        <v>1191</v>
      </c>
      <c r="C529" s="1">
        <f>VLOOKUP(B529,'NOVACART DATA'!$B$2:$C$1000,2,FALSE)</f>
        <v>75</v>
      </c>
      <c r="D529" s="1">
        <v>27</v>
      </c>
      <c r="E529" s="1" t="str">
        <f>VLOOKUP(B529,'NOVACART DATA'!$B$2:$M$1001,5,FALSE)</f>
        <v>Organic</v>
      </c>
      <c r="F529" s="1">
        <v>1</v>
      </c>
      <c r="G529" s="1">
        <v>27.3</v>
      </c>
      <c r="H529" s="1">
        <v>15</v>
      </c>
      <c r="I529" s="17">
        <f t="shared" si="8"/>
        <v>23.204999999999998</v>
      </c>
      <c r="J529" s="1">
        <f>VLOOKUP(B529,'NOVACART DATA'!$B$2:$N$1001,13,FALSE)</f>
        <v>0</v>
      </c>
    </row>
    <row r="530" spans="1:10">
      <c r="A530" s="2">
        <f>VLOOKUP(B530,CHOOSE({1,2},'NOVACART DATA'!$B$2:$B$1001,'NOVACART DATA'!$A$2:$A$1001),2,FALSE)</f>
        <v>45989</v>
      </c>
      <c r="B530" s="1">
        <v>1191</v>
      </c>
      <c r="C530" s="1">
        <f>VLOOKUP(B530,'NOVACART DATA'!$B$2:$C$1000,2,FALSE)</f>
        <v>75</v>
      </c>
      <c r="D530" s="1">
        <v>19</v>
      </c>
      <c r="E530" s="1" t="str">
        <f>VLOOKUP(B530,'NOVACART DATA'!$B$2:$M$1001,5,FALSE)</f>
        <v>Organic</v>
      </c>
      <c r="F530" s="1">
        <v>1</v>
      </c>
      <c r="G530" s="1">
        <v>50.14</v>
      </c>
      <c r="H530" s="1">
        <v>15</v>
      </c>
      <c r="I530" s="17">
        <f t="shared" si="8"/>
        <v>42.619</v>
      </c>
      <c r="J530" s="1">
        <f>VLOOKUP(B530,'NOVACART DATA'!$B$2:$N$1001,13,FALSE)</f>
        <v>0</v>
      </c>
    </row>
    <row r="531" spans="1:10">
      <c r="A531" s="2">
        <f>VLOOKUP(B531,CHOOSE({1,2},'NOVACART DATA'!$B$2:$B$1001,'NOVACART DATA'!$A$2:$A$1001),2,FALSE)</f>
        <v>45912</v>
      </c>
      <c r="B531" s="1">
        <v>1245</v>
      </c>
      <c r="C531" s="1">
        <f>VLOOKUP(B531,'NOVACART DATA'!$B$2:$C$1000,2,FALSE)</f>
        <v>75</v>
      </c>
      <c r="D531" s="1">
        <v>23</v>
      </c>
      <c r="E531" s="1" t="str">
        <f>VLOOKUP(B531,'NOVACART DATA'!$B$2:$M$1001,5,FALSE)</f>
        <v>Organic</v>
      </c>
      <c r="F531" s="1">
        <v>1</v>
      </c>
      <c r="G531" s="1">
        <v>38.14</v>
      </c>
      <c r="H531" s="1">
        <v>20</v>
      </c>
      <c r="I531" s="17">
        <f t="shared" si="8"/>
        <v>30.512</v>
      </c>
      <c r="J531" s="1">
        <f>VLOOKUP(B531,'NOVACART DATA'!$B$2:$N$1001,13,FALSE)</f>
        <v>0</v>
      </c>
    </row>
    <row r="532" spans="1:10">
      <c r="A532" s="2">
        <f>VLOOKUP(B532,CHOOSE({1,2},'NOVACART DATA'!$B$2:$B$1001,'NOVACART DATA'!$A$2:$A$1001),2,FALSE)</f>
        <v>45912</v>
      </c>
      <c r="B532" s="1">
        <v>1245</v>
      </c>
      <c r="C532" s="1">
        <f>VLOOKUP(B532,'NOVACART DATA'!$B$2:$C$1000,2,FALSE)</f>
        <v>75</v>
      </c>
      <c r="D532" s="1">
        <v>6</v>
      </c>
      <c r="E532" s="1" t="str">
        <f>VLOOKUP(B532,'NOVACART DATA'!$B$2:$M$1001,5,FALSE)</f>
        <v>Organic</v>
      </c>
      <c r="F532" s="1">
        <v>1</v>
      </c>
      <c r="G532" s="1">
        <v>70.47</v>
      </c>
      <c r="H532" s="1">
        <v>15</v>
      </c>
      <c r="I532" s="17">
        <f t="shared" si="8"/>
        <v>59.899499999999996</v>
      </c>
      <c r="J532" s="1">
        <f>VLOOKUP(B532,'NOVACART DATA'!$B$2:$N$1001,13,FALSE)</f>
        <v>0</v>
      </c>
    </row>
    <row r="533" spans="1:10">
      <c r="A533" s="2">
        <f>VLOOKUP(B533,CHOOSE({1,2},'NOVACART DATA'!$B$2:$B$1001,'NOVACART DATA'!$A$2:$A$1001),2,FALSE)</f>
        <v>45912</v>
      </c>
      <c r="B533" s="1">
        <v>1245</v>
      </c>
      <c r="C533" s="1">
        <f>VLOOKUP(B533,'NOVACART DATA'!$B$2:$C$1000,2,FALSE)</f>
        <v>75</v>
      </c>
      <c r="D533" s="1">
        <v>26</v>
      </c>
      <c r="E533" s="1" t="str">
        <f>VLOOKUP(B533,'NOVACART DATA'!$B$2:$M$1001,5,FALSE)</f>
        <v>Organic</v>
      </c>
      <c r="F533" s="1">
        <v>1</v>
      </c>
      <c r="G533" s="1">
        <v>31.76</v>
      </c>
      <c r="H533" s="1">
        <v>20</v>
      </c>
      <c r="I533" s="17">
        <f t="shared" si="8"/>
        <v>25.408000000000001</v>
      </c>
      <c r="J533" s="1">
        <f>VLOOKUP(B533,'NOVACART DATA'!$B$2:$N$1001,13,FALSE)</f>
        <v>0</v>
      </c>
    </row>
    <row r="534" spans="1:10">
      <c r="A534" s="2">
        <f>VLOOKUP(B534,CHOOSE({1,2},'NOVACART DATA'!$B$2:$B$1001,'NOVACART DATA'!$A$2:$A$1001),2,FALSE)</f>
        <v>46235</v>
      </c>
      <c r="B534" s="1">
        <v>1381</v>
      </c>
      <c r="C534" s="1">
        <f>VLOOKUP(B534,'NOVACART DATA'!$B$2:$C$1000,2,FALSE)</f>
        <v>75</v>
      </c>
      <c r="D534" s="1">
        <v>27</v>
      </c>
      <c r="E534" s="1" t="str">
        <f>VLOOKUP(B534,'NOVACART DATA'!$B$2:$M$1001,5,FALSE)</f>
        <v>Organic</v>
      </c>
      <c r="F534" s="1">
        <v>3</v>
      </c>
      <c r="G534" s="1">
        <v>27.3</v>
      </c>
      <c r="H534" s="1">
        <v>0</v>
      </c>
      <c r="I534" s="17">
        <f t="shared" si="8"/>
        <v>81.900000000000006</v>
      </c>
      <c r="J534" s="1">
        <f>VLOOKUP(B534,'NOVACART DATA'!$B$2:$N$1001,13,FALSE)</f>
        <v>0</v>
      </c>
    </row>
    <row r="535" spans="1:10">
      <c r="A535" s="2">
        <f>VLOOKUP(B535,CHOOSE({1,2},'NOVACART DATA'!$B$2:$B$1001,'NOVACART DATA'!$A$2:$A$1001),2,FALSE)</f>
        <v>46114</v>
      </c>
      <c r="B535" s="1">
        <v>1452</v>
      </c>
      <c r="C535" s="1">
        <f>VLOOKUP(B535,'NOVACART DATA'!$B$2:$C$1000,2,FALSE)</f>
        <v>75</v>
      </c>
      <c r="D535" s="1">
        <v>28</v>
      </c>
      <c r="E535" s="1" t="str">
        <f>VLOOKUP(B535,'NOVACART DATA'!$B$2:$M$1001,5,FALSE)</f>
        <v>Organic</v>
      </c>
      <c r="F535" s="1">
        <v>2</v>
      </c>
      <c r="G535" s="1">
        <v>21.24</v>
      </c>
      <c r="H535" s="1">
        <v>5</v>
      </c>
      <c r="I535" s="17">
        <f t="shared" si="8"/>
        <v>40.355999999999995</v>
      </c>
      <c r="J535" s="1">
        <f>VLOOKUP(B535,'NOVACART DATA'!$B$2:$N$1001,13,FALSE)</f>
        <v>0</v>
      </c>
    </row>
    <row r="536" spans="1:10">
      <c r="A536" s="2">
        <f>VLOOKUP(B536,CHOOSE({1,2},'NOVACART DATA'!$B$2:$B$1001,'NOVACART DATA'!$A$2:$A$1001),2,FALSE)</f>
        <v>46205</v>
      </c>
      <c r="B536" s="1">
        <v>1461</v>
      </c>
      <c r="C536" s="1">
        <f>VLOOKUP(B536,'NOVACART DATA'!$B$2:$C$1000,2,FALSE)</f>
        <v>75</v>
      </c>
      <c r="D536" s="1">
        <v>11</v>
      </c>
      <c r="E536" s="1" t="str">
        <f>VLOOKUP(B536,'NOVACART DATA'!$B$2:$M$1001,5,FALSE)</f>
        <v>Organic</v>
      </c>
      <c r="F536" s="1">
        <v>3</v>
      </c>
      <c r="G536" s="1">
        <v>58.35</v>
      </c>
      <c r="H536" s="1">
        <v>0</v>
      </c>
      <c r="I536" s="17">
        <f t="shared" si="8"/>
        <v>175.05</v>
      </c>
      <c r="J536" s="1">
        <f>VLOOKUP(B536,'NOVACART DATA'!$B$2:$N$1001,13,FALSE)</f>
        <v>0</v>
      </c>
    </row>
    <row r="537" spans="1:10">
      <c r="A537" s="2">
        <f>VLOOKUP(B537,CHOOSE({1,2},'NOVACART DATA'!$B$2:$B$1001,'NOVACART DATA'!$A$2:$A$1001),2,FALSE)</f>
        <v>46205</v>
      </c>
      <c r="B537" s="1">
        <v>1461</v>
      </c>
      <c r="C537" s="1">
        <f>VLOOKUP(B537,'NOVACART DATA'!$B$2:$C$1000,2,FALSE)</f>
        <v>75</v>
      </c>
      <c r="D537" s="1">
        <v>34</v>
      </c>
      <c r="E537" s="1" t="str">
        <f>VLOOKUP(B537,'NOVACART DATA'!$B$2:$M$1001,5,FALSE)</f>
        <v>Organic</v>
      </c>
      <c r="F537" s="1">
        <v>1</v>
      </c>
      <c r="G537" s="1">
        <v>58.26</v>
      </c>
      <c r="H537" s="1">
        <v>10</v>
      </c>
      <c r="I537" s="17">
        <f t="shared" si="8"/>
        <v>52.433999999999997</v>
      </c>
      <c r="J537" s="1">
        <f>VLOOKUP(B537,'NOVACART DATA'!$B$2:$N$1001,13,FALSE)</f>
        <v>0</v>
      </c>
    </row>
    <row r="538" spans="1:10">
      <c r="A538" s="2">
        <f>VLOOKUP(B538,CHOOSE({1,2},'NOVACART DATA'!$B$2:$B$1001,'NOVACART DATA'!$A$2:$A$1001),2,FALSE)</f>
        <v>46205</v>
      </c>
      <c r="B538" s="1">
        <v>1461</v>
      </c>
      <c r="C538" s="1">
        <f>VLOOKUP(B538,'NOVACART DATA'!$B$2:$C$1000,2,FALSE)</f>
        <v>75</v>
      </c>
      <c r="D538" s="1">
        <v>38</v>
      </c>
      <c r="E538" s="1" t="str">
        <f>VLOOKUP(B538,'NOVACART DATA'!$B$2:$M$1001,5,FALSE)</f>
        <v>Organic</v>
      </c>
      <c r="F538" s="1">
        <v>1</v>
      </c>
      <c r="G538" s="1">
        <v>25.14</v>
      </c>
      <c r="H538" s="1">
        <v>0</v>
      </c>
      <c r="I538" s="17">
        <f t="shared" si="8"/>
        <v>25.14</v>
      </c>
      <c r="J538" s="1">
        <f>VLOOKUP(B538,'NOVACART DATA'!$B$2:$N$1001,13,FALSE)</f>
        <v>0</v>
      </c>
    </row>
    <row r="539" spans="1:10">
      <c r="A539" s="2">
        <f>VLOOKUP(B539,CHOOSE({1,2},'NOVACART DATA'!$B$2:$B$1001,'NOVACART DATA'!$A$2:$A$1001),2,FALSE)</f>
        <v>46080</v>
      </c>
      <c r="B539" s="1">
        <v>1537</v>
      </c>
      <c r="C539" s="1">
        <f>VLOOKUP(B539,'NOVACART DATA'!$B$2:$C$1000,2,FALSE)</f>
        <v>75</v>
      </c>
      <c r="D539" s="1">
        <v>16</v>
      </c>
      <c r="E539" s="1" t="str">
        <f>VLOOKUP(B539,'NOVACART DATA'!$B$2:$M$1001,5,FALSE)</f>
        <v>Organic</v>
      </c>
      <c r="F539" s="1">
        <v>1</v>
      </c>
      <c r="G539" s="1">
        <v>11.81</v>
      </c>
      <c r="H539" s="1">
        <v>0</v>
      </c>
      <c r="I539" s="17">
        <f t="shared" si="8"/>
        <v>11.81</v>
      </c>
      <c r="J539" s="1">
        <f>VLOOKUP(B539,'NOVACART DATA'!$B$2:$N$1001,13,FALSE)</f>
        <v>0</v>
      </c>
    </row>
    <row r="540" spans="1:10">
      <c r="A540" s="2">
        <f>VLOOKUP(B540,CHOOSE({1,2},'NOVACART DATA'!$B$2:$B$1001,'NOVACART DATA'!$A$2:$A$1001),2,FALSE)</f>
        <v>46235</v>
      </c>
      <c r="B540" s="1">
        <v>1381</v>
      </c>
      <c r="C540" s="1">
        <f>VLOOKUP(B540,'NOVACART DATA'!$B$2:$C$1000,2,FALSE)</f>
        <v>75</v>
      </c>
      <c r="D540" s="1">
        <v>30</v>
      </c>
      <c r="E540" s="1" t="str">
        <f>VLOOKUP(B540,'NOVACART DATA'!$B$2:$M$1001,5,FALSE)</f>
        <v>Organic</v>
      </c>
      <c r="F540" s="1">
        <v>1</v>
      </c>
      <c r="G540" s="1">
        <v>41.49</v>
      </c>
      <c r="H540" s="1">
        <v>0</v>
      </c>
      <c r="I540" s="17">
        <f t="shared" si="8"/>
        <v>41.49</v>
      </c>
      <c r="J540" s="1">
        <f>VLOOKUP(B540,'NOVACART DATA'!$B$2:$N$1001,13,FALSE)</f>
        <v>0</v>
      </c>
    </row>
    <row r="541" spans="1:10">
      <c r="A541" s="2">
        <f>VLOOKUP(B541,CHOOSE({1,2},'NOVACART DATA'!$B$2:$B$1001,'NOVACART DATA'!$A$2:$A$1001),2,FALSE)</f>
        <v>46358</v>
      </c>
      <c r="B541" s="1">
        <v>1480</v>
      </c>
      <c r="C541" s="1">
        <f>VLOOKUP(B541,'NOVACART DATA'!$B$2:$C$1000,2,FALSE)</f>
        <v>75</v>
      </c>
      <c r="D541" s="1">
        <v>18</v>
      </c>
      <c r="E541" s="1" t="str">
        <f>VLOOKUP(B541,'NOVACART DATA'!$B$2:$M$1001,5,FALSE)</f>
        <v>Organic</v>
      </c>
      <c r="F541" s="1">
        <v>1</v>
      </c>
      <c r="G541" s="1">
        <v>44.01</v>
      </c>
      <c r="H541" s="1">
        <v>0</v>
      </c>
      <c r="I541" s="17">
        <f t="shared" si="8"/>
        <v>44.01</v>
      </c>
      <c r="J541" s="1">
        <f>VLOOKUP(B541,'NOVACART DATA'!$B$2:$N$1001,13,FALSE)</f>
        <v>0</v>
      </c>
    </row>
    <row r="542" spans="1:10">
      <c r="A542" s="2">
        <f>VLOOKUP(B542,CHOOSE({1,2},'NOVACART DATA'!$B$2:$B$1001,'NOVACART DATA'!$A$2:$A$1001),2,FALSE)</f>
        <v>45975</v>
      </c>
      <c r="B542" s="1">
        <v>1126</v>
      </c>
      <c r="C542" s="1">
        <f>VLOOKUP(B542,'NOVACART DATA'!$B$2:$C$1000,2,FALSE)</f>
        <v>76</v>
      </c>
      <c r="D542" s="1">
        <v>28</v>
      </c>
      <c r="E542" s="1" t="str">
        <f>VLOOKUP(B542,'NOVACART DATA'!$B$2:$M$1001,5,FALSE)</f>
        <v>Paid Search</v>
      </c>
      <c r="F542" s="1">
        <v>1</v>
      </c>
      <c r="G542" s="1">
        <v>21.24</v>
      </c>
      <c r="H542" s="1">
        <v>0</v>
      </c>
      <c r="I542" s="17">
        <f t="shared" si="8"/>
        <v>21.24</v>
      </c>
      <c r="J542" s="1">
        <f>VLOOKUP(B542,'NOVACART DATA'!$B$2:$N$1001,13,FALSE)</f>
        <v>1</v>
      </c>
    </row>
    <row r="543" spans="1:10">
      <c r="A543" s="2">
        <f>VLOOKUP(B543,CHOOSE({1,2},'NOVACART DATA'!$B$2:$B$1001,'NOVACART DATA'!$A$2:$A$1001),2,FALSE)</f>
        <v>45984</v>
      </c>
      <c r="B543" s="1">
        <v>1168</v>
      </c>
      <c r="C543" s="1">
        <f>VLOOKUP(B543,'NOVACART DATA'!$B$2:$C$1000,2,FALSE)</f>
        <v>76</v>
      </c>
      <c r="D543" s="1">
        <v>18</v>
      </c>
      <c r="E543" s="1" t="str">
        <f>VLOOKUP(B543,'NOVACART DATA'!$B$2:$M$1001,5,FALSE)</f>
        <v>Paid Search</v>
      </c>
      <c r="F543" s="1">
        <v>2</v>
      </c>
      <c r="G543" s="1">
        <v>44.01</v>
      </c>
      <c r="H543" s="1">
        <v>0</v>
      </c>
      <c r="I543" s="17">
        <f t="shared" si="8"/>
        <v>88.02</v>
      </c>
      <c r="J543" s="1">
        <f>VLOOKUP(B543,'NOVACART DATA'!$B$2:$N$1001,13,FALSE)</f>
        <v>0</v>
      </c>
    </row>
    <row r="544" spans="1:10">
      <c r="A544" s="2">
        <f>VLOOKUP(B544,CHOOSE({1,2},'NOVACART DATA'!$B$2:$B$1001,'NOVACART DATA'!$A$2:$A$1001),2,FALSE)</f>
        <v>45948</v>
      </c>
      <c r="B544" s="1">
        <v>1025</v>
      </c>
      <c r="C544" s="1">
        <f>VLOOKUP(B544,'NOVACART DATA'!$B$2:$C$1000,2,FALSE)</f>
        <v>77</v>
      </c>
      <c r="D544" s="1">
        <v>7</v>
      </c>
      <c r="E544" s="1" t="str">
        <f>VLOOKUP(B544,'NOVACART DATA'!$B$2:$M$1001,5,FALSE)</f>
        <v>Social</v>
      </c>
      <c r="F544" s="1">
        <v>1</v>
      </c>
      <c r="G544" s="1">
        <v>79.39</v>
      </c>
      <c r="H544" s="1">
        <v>0</v>
      </c>
      <c r="I544" s="17">
        <f t="shared" si="8"/>
        <v>79.39</v>
      </c>
      <c r="J544" s="1">
        <f>VLOOKUP(B544,'NOVACART DATA'!$B$2:$N$1001,13,FALSE)</f>
        <v>0</v>
      </c>
    </row>
    <row r="545" spans="1:10">
      <c r="A545" s="2">
        <f>VLOOKUP(B545,CHOOSE({1,2},'NOVACART DATA'!$B$2:$B$1001,'NOVACART DATA'!$A$2:$A$1001),2,FALSE)</f>
        <v>45699</v>
      </c>
      <c r="B545" s="1">
        <v>1071</v>
      </c>
      <c r="C545" s="1">
        <f>VLOOKUP(B545,'NOVACART DATA'!$B$2:$C$1000,2,FALSE)</f>
        <v>77</v>
      </c>
      <c r="D545" s="1">
        <v>40</v>
      </c>
      <c r="E545" s="1" t="str">
        <f>VLOOKUP(B545,'NOVACART DATA'!$B$2:$M$1001,5,FALSE)</f>
        <v>Social</v>
      </c>
      <c r="F545" s="1">
        <v>2</v>
      </c>
      <c r="G545" s="1">
        <v>47.25</v>
      </c>
      <c r="H545" s="1">
        <v>0</v>
      </c>
      <c r="I545" s="17">
        <f t="shared" si="8"/>
        <v>94.5</v>
      </c>
      <c r="J545" s="1">
        <f>VLOOKUP(B545,'NOVACART DATA'!$B$2:$N$1001,13,FALSE)</f>
        <v>0</v>
      </c>
    </row>
    <row r="546" spans="1:10">
      <c r="A546" s="2">
        <f>VLOOKUP(B546,CHOOSE({1,2},'NOVACART DATA'!$B$2:$B$1001,'NOVACART DATA'!$A$2:$A$1001),2,FALSE)</f>
        <v>45699</v>
      </c>
      <c r="B546" s="1">
        <v>1071</v>
      </c>
      <c r="C546" s="1">
        <f>VLOOKUP(B546,'NOVACART DATA'!$B$2:$C$1000,2,FALSE)</f>
        <v>77</v>
      </c>
      <c r="D546" s="1">
        <v>10</v>
      </c>
      <c r="E546" s="1" t="str">
        <f>VLOOKUP(B546,'NOVACART DATA'!$B$2:$M$1001,5,FALSE)</f>
        <v>Social</v>
      </c>
      <c r="F546" s="1">
        <v>3</v>
      </c>
      <c r="G546" s="1">
        <v>62.68</v>
      </c>
      <c r="H546" s="1">
        <v>0</v>
      </c>
      <c r="I546" s="17">
        <f t="shared" si="8"/>
        <v>188.04</v>
      </c>
      <c r="J546" s="1">
        <f>VLOOKUP(B546,'NOVACART DATA'!$B$2:$N$1001,13,FALSE)</f>
        <v>0</v>
      </c>
    </row>
    <row r="547" spans="1:10">
      <c r="A547" s="2">
        <f>VLOOKUP(B547,CHOOSE({1,2},'NOVACART DATA'!$B$2:$B$1001,'NOVACART DATA'!$A$2:$A$1001),2,FALSE)</f>
        <v>45985</v>
      </c>
      <c r="B547" s="1">
        <v>1044</v>
      </c>
      <c r="C547" s="1">
        <f>VLOOKUP(B547,'NOVACART DATA'!$B$2:$C$1000,2,FALSE)</f>
        <v>5</v>
      </c>
      <c r="D547" s="1">
        <v>17</v>
      </c>
      <c r="E547" s="1" t="str">
        <f>VLOOKUP(B547,'NOVACART DATA'!$B$2:$M$1001,5,FALSE)</f>
        <v>Email</v>
      </c>
      <c r="F547" s="1">
        <v>1</v>
      </c>
      <c r="G547" s="1">
        <v>6.61</v>
      </c>
      <c r="H547" s="1">
        <v>5</v>
      </c>
      <c r="I547" s="17">
        <f t="shared" si="8"/>
        <v>6.2794999999999996</v>
      </c>
      <c r="J547" s="1">
        <f>VLOOKUP(B547,'NOVACART DATA'!$B$2:$N$1001,13,FALSE)</f>
        <v>0</v>
      </c>
    </row>
    <row r="548" spans="1:10">
      <c r="A548" s="2">
        <f>VLOOKUP(B548,CHOOSE({1,2},'NOVACART DATA'!$B$2:$B$1001,'NOVACART DATA'!$A$2:$A$1001),2,FALSE)</f>
        <v>45972</v>
      </c>
      <c r="B548" s="1">
        <v>1113</v>
      </c>
      <c r="C548" s="1">
        <f>VLOOKUP(B548,'NOVACART DATA'!$B$2:$C$1000,2,FALSE)</f>
        <v>77</v>
      </c>
      <c r="D548" s="1">
        <v>33</v>
      </c>
      <c r="E548" s="1" t="str">
        <f>VLOOKUP(B548,'NOVACART DATA'!$B$2:$M$1001,5,FALSE)</f>
        <v>Social</v>
      </c>
      <c r="F548" s="1">
        <v>1</v>
      </c>
      <c r="G548" s="1">
        <v>40.94</v>
      </c>
      <c r="H548" s="1">
        <v>0</v>
      </c>
      <c r="I548" s="17">
        <f t="shared" si="8"/>
        <v>40.94</v>
      </c>
      <c r="J548" s="1">
        <f>VLOOKUP(B548,'NOVACART DATA'!$B$2:$N$1001,13,FALSE)</f>
        <v>0</v>
      </c>
    </row>
    <row r="549" spans="1:10">
      <c r="A549" s="2">
        <f>VLOOKUP(B549,CHOOSE({1,2},'NOVACART DATA'!$B$2:$B$1001,'NOVACART DATA'!$A$2:$A$1001),2,FALSE)</f>
        <v>45972</v>
      </c>
      <c r="B549" s="1">
        <v>1113</v>
      </c>
      <c r="C549" s="1">
        <f>VLOOKUP(B549,'NOVACART DATA'!$B$2:$C$1000,2,FALSE)</f>
        <v>77</v>
      </c>
      <c r="D549" s="1">
        <v>13</v>
      </c>
      <c r="E549" s="1" t="str">
        <f>VLOOKUP(B549,'NOVACART DATA'!$B$2:$M$1001,5,FALSE)</f>
        <v>Social</v>
      </c>
      <c r="F549" s="1">
        <v>1</v>
      </c>
      <c r="G549" s="1">
        <v>54.9</v>
      </c>
      <c r="H549" s="1">
        <v>0</v>
      </c>
      <c r="I549" s="17">
        <f t="shared" si="8"/>
        <v>54.9</v>
      </c>
      <c r="J549" s="1">
        <f>VLOOKUP(B549,'NOVACART DATA'!$B$2:$N$1001,13,FALSE)</f>
        <v>0</v>
      </c>
    </row>
    <row r="550" spans="1:10">
      <c r="A550" s="2">
        <f>VLOOKUP(B550,CHOOSE({1,2},'NOVACART DATA'!$B$2:$B$1001,'NOVACART DATA'!$A$2:$A$1001),2,FALSE)</f>
        <v>45972</v>
      </c>
      <c r="B550" s="1">
        <v>1113</v>
      </c>
      <c r="C550" s="1">
        <f>VLOOKUP(B550,'NOVACART DATA'!$B$2:$C$1000,2,FALSE)</f>
        <v>77</v>
      </c>
      <c r="D550" s="1">
        <v>6</v>
      </c>
      <c r="E550" s="1" t="str">
        <f>VLOOKUP(B550,'NOVACART DATA'!$B$2:$M$1001,5,FALSE)</f>
        <v>Social</v>
      </c>
      <c r="F550" s="1">
        <v>1</v>
      </c>
      <c r="G550" s="1">
        <v>70.47</v>
      </c>
      <c r="H550" s="1">
        <v>0</v>
      </c>
      <c r="I550" s="17">
        <f t="shared" si="8"/>
        <v>70.47</v>
      </c>
      <c r="J550" s="1">
        <f>VLOOKUP(B550,'NOVACART DATA'!$B$2:$N$1001,13,FALSE)</f>
        <v>0</v>
      </c>
    </row>
    <row r="551" spans="1:10">
      <c r="A551" s="2">
        <f>VLOOKUP(B551,CHOOSE({1,2},'NOVACART DATA'!$B$2:$B$1001,'NOVACART DATA'!$A$2:$A$1001),2,FALSE)</f>
        <v>45978</v>
      </c>
      <c r="B551" s="1">
        <v>1141</v>
      </c>
      <c r="C551" s="1">
        <f>VLOOKUP(B551,'NOVACART DATA'!$B$2:$C$1000,2,FALSE)</f>
        <v>77</v>
      </c>
      <c r="D551" s="1">
        <v>9</v>
      </c>
      <c r="E551" s="1" t="str">
        <f>VLOOKUP(B551,'NOVACART DATA'!$B$2:$M$1001,5,FALSE)</f>
        <v>Social</v>
      </c>
      <c r="F551" s="1">
        <v>1</v>
      </c>
      <c r="G551" s="1">
        <v>20.69</v>
      </c>
      <c r="H551" s="1">
        <v>10</v>
      </c>
      <c r="I551" s="17">
        <f t="shared" si="8"/>
        <v>18.621000000000002</v>
      </c>
      <c r="J551" s="1">
        <f>VLOOKUP(B551,'NOVACART DATA'!$B$2:$N$1001,13,FALSE)</f>
        <v>0</v>
      </c>
    </row>
    <row r="552" spans="1:10">
      <c r="A552" s="2">
        <f>VLOOKUP(B552,CHOOSE({1,2},'NOVACART DATA'!$B$2:$B$1001,'NOVACART DATA'!$A$2:$A$1001),2,FALSE)</f>
        <v>45978</v>
      </c>
      <c r="B552" s="1">
        <v>1141</v>
      </c>
      <c r="C552" s="1">
        <f>VLOOKUP(B552,'NOVACART DATA'!$B$2:$C$1000,2,FALSE)</f>
        <v>77</v>
      </c>
      <c r="D552" s="1">
        <v>23</v>
      </c>
      <c r="E552" s="1" t="str">
        <f>VLOOKUP(B552,'NOVACART DATA'!$B$2:$M$1001,5,FALSE)</f>
        <v>Social</v>
      </c>
      <c r="F552" s="1">
        <v>1</v>
      </c>
      <c r="G552" s="1">
        <v>38.14</v>
      </c>
      <c r="H552" s="1">
        <v>10</v>
      </c>
      <c r="I552" s="17">
        <f t="shared" si="8"/>
        <v>34.326000000000001</v>
      </c>
      <c r="J552" s="1">
        <f>VLOOKUP(B552,'NOVACART DATA'!$B$2:$N$1001,13,FALSE)</f>
        <v>0</v>
      </c>
    </row>
    <row r="553" spans="1:10">
      <c r="A553" s="2">
        <f>VLOOKUP(B553,CHOOSE({1,2},'NOVACART DATA'!$B$2:$B$1001,'NOVACART DATA'!$A$2:$A$1001),2,FALSE)</f>
        <v>45991</v>
      </c>
      <c r="B553" s="1">
        <v>1203</v>
      </c>
      <c r="C553" s="1">
        <f>VLOOKUP(B553,'NOVACART DATA'!$B$2:$C$1000,2,FALSE)</f>
        <v>77</v>
      </c>
      <c r="D553" s="1">
        <v>12</v>
      </c>
      <c r="E553" s="1" t="str">
        <f>VLOOKUP(B553,'NOVACART DATA'!$B$2:$M$1001,5,FALSE)</f>
        <v>Social</v>
      </c>
      <c r="F553" s="1">
        <v>1</v>
      </c>
      <c r="G553" s="1">
        <v>8.4499999999999993</v>
      </c>
      <c r="H553" s="1">
        <v>15</v>
      </c>
      <c r="I553" s="17">
        <f t="shared" si="8"/>
        <v>7.1824999999999992</v>
      </c>
      <c r="J553" s="1">
        <f>VLOOKUP(B553,'NOVACART DATA'!$B$2:$N$1001,13,FALSE)</f>
        <v>0</v>
      </c>
    </row>
    <row r="554" spans="1:10">
      <c r="A554" s="2">
        <f>VLOOKUP(B554,CHOOSE({1,2},'NOVACART DATA'!$B$2:$B$1001,'NOVACART DATA'!$A$2:$A$1001),2,FALSE)</f>
        <v>46003</v>
      </c>
      <c r="B554" s="1">
        <v>1266</v>
      </c>
      <c r="C554" s="1">
        <f>VLOOKUP(B554,'NOVACART DATA'!$B$2:$C$1000,2,FALSE)</f>
        <v>77</v>
      </c>
      <c r="D554" s="1">
        <v>24</v>
      </c>
      <c r="E554" s="1" t="str">
        <f>VLOOKUP(B554,'NOVACART DATA'!$B$2:$M$1001,5,FALSE)</f>
        <v>Social</v>
      </c>
      <c r="F554" s="1">
        <v>3</v>
      </c>
      <c r="G554" s="1">
        <v>43.42</v>
      </c>
      <c r="H554" s="1">
        <v>10</v>
      </c>
      <c r="I554" s="17">
        <f t="shared" si="8"/>
        <v>117.23399999999999</v>
      </c>
      <c r="J554" s="1">
        <f>VLOOKUP(B554,'NOVACART DATA'!$B$2:$N$1001,13,FALSE)</f>
        <v>0</v>
      </c>
    </row>
    <row r="555" spans="1:10">
      <c r="A555" s="2">
        <f>VLOOKUP(B555,CHOOSE({1,2},'NOVACART DATA'!$B$2:$B$1001,'NOVACART DATA'!$A$2:$A$1001),2,FALSE)</f>
        <v>46051</v>
      </c>
      <c r="B555" s="1">
        <v>1440</v>
      </c>
      <c r="C555" s="1">
        <f>VLOOKUP(B555,'NOVACART DATA'!$B$2:$C$1000,2,FALSE)</f>
        <v>77</v>
      </c>
      <c r="D555" s="1">
        <v>16</v>
      </c>
      <c r="E555" s="1" t="str">
        <f>VLOOKUP(B555,'NOVACART DATA'!$B$2:$M$1001,5,FALSE)</f>
        <v>Social</v>
      </c>
      <c r="F555" s="1">
        <v>3</v>
      </c>
      <c r="G555" s="1">
        <v>11.81</v>
      </c>
      <c r="H555" s="1">
        <v>15</v>
      </c>
      <c r="I555" s="17">
        <f t="shared" si="8"/>
        <v>30.115499999999997</v>
      </c>
      <c r="J555" s="1">
        <f>VLOOKUP(B555,'NOVACART DATA'!$B$2:$N$1001,13,FALSE)</f>
        <v>0</v>
      </c>
    </row>
    <row r="556" spans="1:10">
      <c r="A556" s="2">
        <f>VLOOKUP(B556,CHOOSE({1,2},'NOVACART DATA'!$B$2:$B$1001,'NOVACART DATA'!$A$2:$A$1001),2,FALSE)</f>
        <v>46051</v>
      </c>
      <c r="B556" s="1">
        <v>1440</v>
      </c>
      <c r="C556" s="1">
        <f>VLOOKUP(B556,'NOVACART DATA'!$B$2:$C$1000,2,FALSE)</f>
        <v>77</v>
      </c>
      <c r="D556" s="1">
        <v>25</v>
      </c>
      <c r="E556" s="1" t="str">
        <f>VLOOKUP(B556,'NOVACART DATA'!$B$2:$M$1001,5,FALSE)</f>
        <v>Social</v>
      </c>
      <c r="F556" s="1">
        <v>2</v>
      </c>
      <c r="G556" s="1">
        <v>17.78</v>
      </c>
      <c r="H556" s="1">
        <v>25</v>
      </c>
      <c r="I556" s="17">
        <f t="shared" si="8"/>
        <v>26.67</v>
      </c>
      <c r="J556" s="1">
        <f>VLOOKUP(B556,'NOVACART DATA'!$B$2:$N$1001,13,FALSE)</f>
        <v>0</v>
      </c>
    </row>
    <row r="557" spans="1:10">
      <c r="A557" s="2">
        <f>VLOOKUP(B557,CHOOSE({1,2},'NOVACART DATA'!$B$2:$B$1001,'NOVACART DATA'!$A$2:$A$1001),2,FALSE)</f>
        <v>46016</v>
      </c>
      <c r="B557" s="1">
        <v>1453</v>
      </c>
      <c r="C557" s="1">
        <f>VLOOKUP(B557,'NOVACART DATA'!$B$2:$C$1000,2,FALSE)</f>
        <v>77</v>
      </c>
      <c r="D557" s="1">
        <v>29</v>
      </c>
      <c r="E557" s="1" t="str">
        <f>VLOOKUP(B557,'NOVACART DATA'!$B$2:$M$1001,5,FALSE)</f>
        <v>Social</v>
      </c>
      <c r="F557" s="1">
        <v>1</v>
      </c>
      <c r="G557" s="1">
        <v>45.67</v>
      </c>
      <c r="H557" s="1">
        <v>0</v>
      </c>
      <c r="I557" s="17">
        <f t="shared" si="8"/>
        <v>45.67</v>
      </c>
      <c r="J557" s="1">
        <f>VLOOKUP(B557,'NOVACART DATA'!$B$2:$N$1001,13,FALSE)</f>
        <v>0</v>
      </c>
    </row>
    <row r="558" spans="1:10">
      <c r="A558" s="2">
        <f>VLOOKUP(B558,CHOOSE({1,2},'NOVACART DATA'!$B$2:$B$1001,'NOVACART DATA'!$A$2:$A$1001),2,FALSE)</f>
        <v>46079</v>
      </c>
      <c r="B558" s="1">
        <v>1532</v>
      </c>
      <c r="C558" s="1">
        <f>VLOOKUP(B558,'NOVACART DATA'!$B$2:$C$1000,2,FALSE)</f>
        <v>77</v>
      </c>
      <c r="D558" s="1">
        <v>6</v>
      </c>
      <c r="E558" s="1" t="str">
        <f>VLOOKUP(B558,'NOVACART DATA'!$B$2:$M$1001,5,FALSE)</f>
        <v>Social</v>
      </c>
      <c r="F558" s="1">
        <v>1</v>
      </c>
      <c r="G558" s="1">
        <v>70.47</v>
      </c>
      <c r="H558" s="1">
        <v>25</v>
      </c>
      <c r="I558" s="17">
        <f t="shared" si="8"/>
        <v>52.852499999999999</v>
      </c>
      <c r="J558" s="1">
        <f>VLOOKUP(B558,'NOVACART DATA'!$B$2:$N$1001,13,FALSE)</f>
        <v>0</v>
      </c>
    </row>
    <row r="559" spans="1:10">
      <c r="A559" s="2">
        <f>VLOOKUP(B559,CHOOSE({1,2},'NOVACART DATA'!$B$2:$B$1001,'NOVACART DATA'!$A$2:$A$1001),2,FALSE)</f>
        <v>46079</v>
      </c>
      <c r="B559" s="1">
        <v>1532</v>
      </c>
      <c r="C559" s="1">
        <f>VLOOKUP(B559,'NOVACART DATA'!$B$2:$C$1000,2,FALSE)</f>
        <v>77</v>
      </c>
      <c r="D559" s="1">
        <v>24</v>
      </c>
      <c r="E559" s="1" t="str">
        <f>VLOOKUP(B559,'NOVACART DATA'!$B$2:$M$1001,5,FALSE)</f>
        <v>Social</v>
      </c>
      <c r="F559" s="1">
        <v>1</v>
      </c>
      <c r="G559" s="1">
        <v>43.42</v>
      </c>
      <c r="H559" s="1">
        <v>10</v>
      </c>
      <c r="I559" s="17">
        <f t="shared" si="8"/>
        <v>39.078000000000003</v>
      </c>
      <c r="J559" s="1">
        <f>VLOOKUP(B559,'NOVACART DATA'!$B$2:$N$1001,13,FALSE)</f>
        <v>0</v>
      </c>
    </row>
    <row r="560" spans="1:10">
      <c r="A560" s="2">
        <f>VLOOKUP(B560,CHOOSE({1,2},'NOVACART DATA'!$B$2:$B$1001,'NOVACART DATA'!$A$2:$A$1001),2,FALSE)</f>
        <v>46079</v>
      </c>
      <c r="B560" s="1">
        <v>1532</v>
      </c>
      <c r="C560" s="1">
        <f>VLOOKUP(B560,'NOVACART DATA'!$B$2:$C$1000,2,FALSE)</f>
        <v>77</v>
      </c>
      <c r="D560" s="1">
        <v>37</v>
      </c>
      <c r="E560" s="1" t="str">
        <f>VLOOKUP(B560,'NOVACART DATA'!$B$2:$M$1001,5,FALSE)</f>
        <v>Social</v>
      </c>
      <c r="F560" s="1">
        <v>1</v>
      </c>
      <c r="G560" s="1">
        <v>52.67</v>
      </c>
      <c r="H560" s="1">
        <v>10</v>
      </c>
      <c r="I560" s="17">
        <f t="shared" si="8"/>
        <v>47.403000000000006</v>
      </c>
      <c r="J560" s="1">
        <f>VLOOKUP(B560,'NOVACART DATA'!$B$2:$N$1001,13,FALSE)</f>
        <v>0</v>
      </c>
    </row>
    <row r="561" spans="1:10">
      <c r="A561" s="2">
        <f>VLOOKUP(B561,CHOOSE({1,2},'NOVACART DATA'!$B$2:$B$1001,'NOVACART DATA'!$A$2:$A$1001),2,FALSE)</f>
        <v>46079</v>
      </c>
      <c r="B561" s="1">
        <v>1532</v>
      </c>
      <c r="C561" s="1">
        <f>VLOOKUP(B561,'NOVACART DATA'!$B$2:$C$1000,2,FALSE)</f>
        <v>77</v>
      </c>
      <c r="D561" s="1">
        <v>32</v>
      </c>
      <c r="E561" s="1" t="str">
        <f>VLOOKUP(B561,'NOVACART DATA'!$B$2:$M$1001,5,FALSE)</f>
        <v>Social</v>
      </c>
      <c r="F561" s="1">
        <v>1</v>
      </c>
      <c r="G561" s="1">
        <v>61.06</v>
      </c>
      <c r="H561" s="1">
        <v>25</v>
      </c>
      <c r="I561" s="17">
        <f t="shared" si="8"/>
        <v>45.795000000000002</v>
      </c>
      <c r="J561" s="1">
        <f>VLOOKUP(B561,'NOVACART DATA'!$B$2:$N$1001,13,FALSE)</f>
        <v>0</v>
      </c>
    </row>
    <row r="562" spans="1:10">
      <c r="A562" s="2">
        <f>VLOOKUP(B562,CHOOSE({1,2},'NOVACART DATA'!$B$2:$B$1001,'NOVACART DATA'!$A$2:$A$1001),2,FALSE)</f>
        <v>45985</v>
      </c>
      <c r="B562" s="1">
        <v>1044</v>
      </c>
      <c r="C562" s="1">
        <f>VLOOKUP(B562,'NOVACART DATA'!$B$2:$C$1000,2,FALSE)</f>
        <v>5</v>
      </c>
      <c r="D562" s="1">
        <v>22</v>
      </c>
      <c r="E562" s="1" t="str">
        <f>VLOOKUP(B562,'NOVACART DATA'!$B$2:$M$1001,5,FALSE)</f>
        <v>Email</v>
      </c>
      <c r="F562" s="1">
        <v>1</v>
      </c>
      <c r="G562" s="1">
        <v>29.98</v>
      </c>
      <c r="H562" s="1">
        <v>10</v>
      </c>
      <c r="I562" s="17">
        <f t="shared" si="8"/>
        <v>26.981999999999999</v>
      </c>
      <c r="J562" s="1">
        <f>VLOOKUP(B562,'NOVACART DATA'!$B$2:$N$1001,13,FALSE)</f>
        <v>0</v>
      </c>
    </row>
    <row r="563" spans="1:10">
      <c r="A563" s="2">
        <f>VLOOKUP(B563,CHOOSE({1,2},'NOVACART DATA'!$B$2:$B$1001,'NOVACART DATA'!$A$2:$A$1001),2,FALSE)</f>
        <v>46297</v>
      </c>
      <c r="B563" s="1">
        <v>1471</v>
      </c>
      <c r="C563" s="1">
        <f>VLOOKUP(B563,'NOVACART DATA'!$B$2:$C$1000,2,FALSE)</f>
        <v>77</v>
      </c>
      <c r="D563" s="1">
        <v>15</v>
      </c>
      <c r="E563" s="1" t="str">
        <f>VLOOKUP(B563,'NOVACART DATA'!$B$2:$M$1001,5,FALSE)</f>
        <v>Social</v>
      </c>
      <c r="F563" s="1">
        <v>1</v>
      </c>
      <c r="G563" s="1">
        <v>47.71</v>
      </c>
      <c r="H563" s="1">
        <v>10</v>
      </c>
      <c r="I563" s="17">
        <f t="shared" si="8"/>
        <v>42.939</v>
      </c>
      <c r="J563" s="1">
        <f>VLOOKUP(B563,'NOVACART DATA'!$B$2:$N$1001,13,FALSE)</f>
        <v>0</v>
      </c>
    </row>
    <row r="564" spans="1:10">
      <c r="A564" s="2">
        <f>VLOOKUP(B564,CHOOSE({1,2},'NOVACART DATA'!$B$2:$B$1001,'NOVACART DATA'!$A$2:$A$1001),2,FALSE)</f>
        <v>45960</v>
      </c>
      <c r="B564" s="1">
        <v>1056</v>
      </c>
      <c r="C564" s="1">
        <f>VLOOKUP(B564,'NOVACART DATA'!$B$2:$C$1000,2,FALSE)</f>
        <v>78</v>
      </c>
      <c r="D564" s="1">
        <v>26</v>
      </c>
      <c r="E564" s="1" t="str">
        <f>VLOOKUP(B564,'NOVACART DATA'!$B$2:$M$1001,5,FALSE)</f>
        <v>Social</v>
      </c>
      <c r="F564" s="1">
        <v>2</v>
      </c>
      <c r="G564" s="1">
        <v>31.76</v>
      </c>
      <c r="H564" s="1">
        <v>0</v>
      </c>
      <c r="I564" s="17">
        <f t="shared" si="8"/>
        <v>63.52</v>
      </c>
      <c r="J564" s="1">
        <f>VLOOKUP(B564,'NOVACART DATA'!$B$2:$N$1001,13,FALSE)</f>
        <v>0</v>
      </c>
    </row>
    <row r="565" spans="1:10">
      <c r="A565" s="2">
        <f>VLOOKUP(B565,CHOOSE({1,2},'NOVACART DATA'!$B$2:$B$1001,'NOVACART DATA'!$A$2:$A$1001),2,FALSE)</f>
        <v>46018</v>
      </c>
      <c r="B565" s="1">
        <v>1338</v>
      </c>
      <c r="C565" s="1">
        <f>VLOOKUP(B565,'NOVACART DATA'!$B$2:$C$1000,2,FALSE)</f>
        <v>78</v>
      </c>
      <c r="D565" s="1">
        <v>18</v>
      </c>
      <c r="E565" s="1" t="str">
        <f>VLOOKUP(B565,'NOVACART DATA'!$B$2:$M$1001,5,FALSE)</f>
        <v>Social</v>
      </c>
      <c r="F565" s="1">
        <v>1</v>
      </c>
      <c r="G565" s="1">
        <v>44.01</v>
      </c>
      <c r="H565" s="1">
        <v>25</v>
      </c>
      <c r="I565" s="17">
        <f t="shared" si="8"/>
        <v>33.0075</v>
      </c>
      <c r="J565" s="1">
        <f>VLOOKUP(B565,'NOVACART DATA'!$B$2:$N$1001,13,FALSE)</f>
        <v>0</v>
      </c>
    </row>
    <row r="566" spans="1:10">
      <c r="A566" s="2">
        <f>VLOOKUP(B566,CHOOSE({1,2},'NOVACART DATA'!$B$2:$B$1001,'NOVACART DATA'!$A$2:$A$1001),2,FALSE)</f>
        <v>46016</v>
      </c>
      <c r="B566" s="1">
        <v>1398</v>
      </c>
      <c r="C566" s="1">
        <f>VLOOKUP(B566,'NOVACART DATA'!$B$2:$C$1000,2,FALSE)</f>
        <v>78</v>
      </c>
      <c r="D566" s="1">
        <v>17</v>
      </c>
      <c r="E566" s="1" t="str">
        <f>VLOOKUP(B566,'NOVACART DATA'!$B$2:$M$1001,5,FALSE)</f>
        <v>Social</v>
      </c>
      <c r="F566" s="1">
        <v>1</v>
      </c>
      <c r="G566" s="1">
        <v>6.61</v>
      </c>
      <c r="H566" s="1">
        <v>0</v>
      </c>
      <c r="I566" s="17">
        <f t="shared" si="8"/>
        <v>6.61</v>
      </c>
      <c r="J566" s="1">
        <f>VLOOKUP(B566,'NOVACART DATA'!$B$2:$N$1001,13,FALSE)</f>
        <v>0</v>
      </c>
    </row>
    <row r="567" spans="1:10">
      <c r="A567" s="2">
        <f>VLOOKUP(B567,CHOOSE({1,2},'NOVACART DATA'!$B$2:$B$1001,'NOVACART DATA'!$A$2:$A$1001),2,FALSE)</f>
        <v>46041</v>
      </c>
      <c r="B567" s="1">
        <v>1417</v>
      </c>
      <c r="C567" s="1">
        <f>VLOOKUP(B567,'NOVACART DATA'!$B$2:$C$1000,2,FALSE)</f>
        <v>78</v>
      </c>
      <c r="D567" s="1">
        <v>38</v>
      </c>
      <c r="E567" s="1" t="str">
        <f>VLOOKUP(B567,'NOVACART DATA'!$B$2:$M$1001,5,FALSE)</f>
        <v>Social</v>
      </c>
      <c r="F567" s="1">
        <v>1</v>
      </c>
      <c r="G567" s="1">
        <v>25.14</v>
      </c>
      <c r="H567" s="1">
        <v>0</v>
      </c>
      <c r="I567" s="17">
        <f t="shared" si="8"/>
        <v>25.14</v>
      </c>
      <c r="J567" s="1">
        <f>VLOOKUP(B567,'NOVACART DATA'!$B$2:$N$1001,13,FALSE)</f>
        <v>0</v>
      </c>
    </row>
    <row r="568" spans="1:10">
      <c r="A568" s="2">
        <f>VLOOKUP(B568,CHOOSE({1,2},'NOVACART DATA'!$B$2:$B$1001,'NOVACART DATA'!$A$2:$A$1001),2,FALSE)</f>
        <v>46068</v>
      </c>
      <c r="B568" s="1">
        <v>1489</v>
      </c>
      <c r="C568" s="1">
        <f>VLOOKUP(B568,'NOVACART DATA'!$B$2:$C$1000,2,FALSE)</f>
        <v>79</v>
      </c>
      <c r="D568" s="1">
        <v>2</v>
      </c>
      <c r="E568" s="1" t="str">
        <f>VLOOKUP(B568,'NOVACART DATA'!$B$2:$M$1001,5,FALSE)</f>
        <v>Organic</v>
      </c>
      <c r="F568" s="1">
        <v>1</v>
      </c>
      <c r="G568" s="1">
        <v>64.02</v>
      </c>
      <c r="H568" s="1">
        <v>0</v>
      </c>
      <c r="I568" s="17">
        <f t="shared" si="8"/>
        <v>64.02</v>
      </c>
      <c r="J568" s="1">
        <f>VLOOKUP(B568,'NOVACART DATA'!$B$2:$N$1001,13,FALSE)</f>
        <v>0</v>
      </c>
    </row>
    <row r="569" spans="1:10">
      <c r="A569" s="2">
        <f>VLOOKUP(B569,CHOOSE({1,2},'NOVACART DATA'!$B$2:$B$1001,'NOVACART DATA'!$A$2:$A$1001),2,FALSE)</f>
        <v>46068</v>
      </c>
      <c r="B569" s="1">
        <v>1489</v>
      </c>
      <c r="C569" s="1">
        <f>VLOOKUP(B569,'NOVACART DATA'!$B$2:$C$1000,2,FALSE)</f>
        <v>79</v>
      </c>
      <c r="D569" s="1">
        <v>30</v>
      </c>
      <c r="E569" s="1" t="str">
        <f>VLOOKUP(B569,'NOVACART DATA'!$B$2:$M$1001,5,FALSE)</f>
        <v>Organic</v>
      </c>
      <c r="F569" s="1">
        <v>1</v>
      </c>
      <c r="G569" s="1">
        <v>41.49</v>
      </c>
      <c r="H569" s="1">
        <v>0</v>
      </c>
      <c r="I569" s="17">
        <f t="shared" si="8"/>
        <v>41.49</v>
      </c>
      <c r="J569" s="1">
        <f>VLOOKUP(B569,'NOVACART DATA'!$B$2:$N$1001,13,FALSE)</f>
        <v>0</v>
      </c>
    </row>
    <row r="570" spans="1:10">
      <c r="A570" s="2">
        <f>VLOOKUP(B570,CHOOSE({1,2},'NOVACART DATA'!$B$2:$B$1001,'NOVACART DATA'!$A$2:$A$1001),2,FALSE)</f>
        <v>46068</v>
      </c>
      <c r="B570" s="1">
        <v>1489</v>
      </c>
      <c r="C570" s="1">
        <f>VLOOKUP(B570,'NOVACART DATA'!$B$2:$C$1000,2,FALSE)</f>
        <v>79</v>
      </c>
      <c r="D570" s="1">
        <v>28</v>
      </c>
      <c r="E570" s="1" t="str">
        <f>VLOOKUP(B570,'NOVACART DATA'!$B$2:$M$1001,5,FALSE)</f>
        <v>Organic</v>
      </c>
      <c r="F570" s="1">
        <v>1</v>
      </c>
      <c r="G570" s="1">
        <v>21.24</v>
      </c>
      <c r="H570" s="1">
        <v>0</v>
      </c>
      <c r="I570" s="17">
        <f t="shared" si="8"/>
        <v>21.24</v>
      </c>
      <c r="J570" s="1">
        <f>VLOOKUP(B570,'NOVACART DATA'!$B$2:$N$1001,13,FALSE)</f>
        <v>0</v>
      </c>
    </row>
    <row r="571" spans="1:10">
      <c r="A571" s="2">
        <f>VLOOKUP(B571,CHOOSE({1,2},'NOVACART DATA'!$B$2:$B$1001,'NOVACART DATA'!$A$2:$A$1001),2,FALSE)</f>
        <v>46068</v>
      </c>
      <c r="B571" s="1">
        <v>1489</v>
      </c>
      <c r="C571" s="1">
        <f>VLOOKUP(B571,'NOVACART DATA'!$B$2:$C$1000,2,FALSE)</f>
        <v>79</v>
      </c>
      <c r="D571" s="1">
        <v>38</v>
      </c>
      <c r="E571" s="1" t="str">
        <f>VLOOKUP(B571,'NOVACART DATA'!$B$2:$M$1001,5,FALSE)</f>
        <v>Organic</v>
      </c>
      <c r="F571" s="1">
        <v>1</v>
      </c>
      <c r="G571" s="1">
        <v>25.14</v>
      </c>
      <c r="H571" s="1">
        <v>0</v>
      </c>
      <c r="I571" s="17">
        <f t="shared" si="8"/>
        <v>25.14</v>
      </c>
      <c r="J571" s="1">
        <f>VLOOKUP(B571,'NOVACART DATA'!$B$2:$N$1001,13,FALSE)</f>
        <v>0</v>
      </c>
    </row>
    <row r="572" spans="1:10">
      <c r="A572" s="2">
        <f>VLOOKUP(B572,CHOOSE({1,2},'NOVACART DATA'!$B$2:$B$1001,'NOVACART DATA'!$A$2:$A$1001),2,FALSE)</f>
        <v>46074</v>
      </c>
      <c r="B572" s="1">
        <v>1514</v>
      </c>
      <c r="C572" s="1">
        <f>VLOOKUP(B572,'NOVACART DATA'!$B$2:$C$1000,2,FALSE)</f>
        <v>79</v>
      </c>
      <c r="D572" s="1">
        <v>34</v>
      </c>
      <c r="E572" s="1" t="str">
        <f>VLOOKUP(B572,'NOVACART DATA'!$B$2:$M$1001,5,FALSE)</f>
        <v>Organic</v>
      </c>
      <c r="F572" s="1">
        <v>2</v>
      </c>
      <c r="G572" s="1">
        <v>58.26</v>
      </c>
      <c r="H572" s="1">
        <v>15</v>
      </c>
      <c r="I572" s="17">
        <f t="shared" si="8"/>
        <v>99.041999999999987</v>
      </c>
      <c r="J572" s="1">
        <f>VLOOKUP(B572,'NOVACART DATA'!$B$2:$N$1001,13,FALSE)</f>
        <v>0</v>
      </c>
    </row>
    <row r="573" spans="1:10">
      <c r="A573" s="2">
        <f>VLOOKUP(B573,CHOOSE({1,2},'NOVACART DATA'!$B$2:$B$1001,'NOVACART DATA'!$A$2:$A$1001),2,FALSE)</f>
        <v>46074</v>
      </c>
      <c r="B573" s="1">
        <v>1514</v>
      </c>
      <c r="C573" s="1">
        <f>VLOOKUP(B573,'NOVACART DATA'!$B$2:$C$1000,2,FALSE)</f>
        <v>79</v>
      </c>
      <c r="D573" s="1">
        <v>33</v>
      </c>
      <c r="E573" s="1" t="str">
        <f>VLOOKUP(B573,'NOVACART DATA'!$B$2:$M$1001,5,FALSE)</f>
        <v>Organic</v>
      </c>
      <c r="F573" s="1">
        <v>1</v>
      </c>
      <c r="G573" s="1">
        <v>40.94</v>
      </c>
      <c r="H573" s="1">
        <v>15</v>
      </c>
      <c r="I573" s="17">
        <f t="shared" si="8"/>
        <v>34.798999999999999</v>
      </c>
      <c r="J573" s="1">
        <f>VLOOKUP(B573,'NOVACART DATA'!$B$2:$N$1001,13,FALSE)</f>
        <v>0</v>
      </c>
    </row>
    <row r="574" spans="1:10">
      <c r="A574" s="2">
        <f>VLOOKUP(B574,CHOOSE({1,2},'NOVACART DATA'!$B$2:$B$1001,'NOVACART DATA'!$A$2:$A$1001),2,FALSE)</f>
        <v>46001</v>
      </c>
      <c r="B574" s="1">
        <v>1006</v>
      </c>
      <c r="C574" s="1">
        <f>VLOOKUP(B574,'NOVACART DATA'!$B$2:$C$1000,2,FALSE)</f>
        <v>80</v>
      </c>
      <c r="D574" s="1">
        <v>10</v>
      </c>
      <c r="E574" s="1" t="str">
        <f>VLOOKUP(B574,'NOVACART DATA'!$B$2:$M$1001,5,FALSE)</f>
        <v>Organic</v>
      </c>
      <c r="F574" s="1">
        <v>1</v>
      </c>
      <c r="G574" s="1">
        <v>62.68</v>
      </c>
      <c r="H574" s="1">
        <v>0</v>
      </c>
      <c r="I574" s="17">
        <f t="shared" si="8"/>
        <v>62.68</v>
      </c>
      <c r="J574" s="1">
        <f>VLOOKUP(B574,'NOVACART DATA'!$B$2:$N$1001,13,FALSE)</f>
        <v>0</v>
      </c>
    </row>
    <row r="575" spans="1:10">
      <c r="A575" s="2">
        <f>VLOOKUP(B575,CHOOSE({1,2},'NOVACART DATA'!$B$2:$B$1001,'NOVACART DATA'!$A$2:$A$1001),2,FALSE)</f>
        <v>46001</v>
      </c>
      <c r="B575" s="1">
        <v>1006</v>
      </c>
      <c r="C575" s="1">
        <f>VLOOKUP(B575,'NOVACART DATA'!$B$2:$C$1000,2,FALSE)</f>
        <v>80</v>
      </c>
      <c r="D575" s="1">
        <v>12</v>
      </c>
      <c r="E575" s="1" t="str">
        <f>VLOOKUP(B575,'NOVACART DATA'!$B$2:$M$1001,5,FALSE)</f>
        <v>Organic</v>
      </c>
      <c r="F575" s="1">
        <v>1</v>
      </c>
      <c r="G575" s="1">
        <v>8.4499999999999993</v>
      </c>
      <c r="H575" s="1">
        <v>0</v>
      </c>
      <c r="I575" s="17">
        <f t="shared" si="8"/>
        <v>8.4499999999999993</v>
      </c>
      <c r="J575" s="1">
        <f>VLOOKUP(B575,'NOVACART DATA'!$B$2:$N$1001,13,FALSE)</f>
        <v>0</v>
      </c>
    </row>
    <row r="576" spans="1:10">
      <c r="A576" s="2">
        <f>VLOOKUP(B576,CHOOSE({1,2},'NOVACART DATA'!$B$2:$B$1001,'NOVACART DATA'!$A$2:$A$1001),2,FALSE)</f>
        <v>45946</v>
      </c>
      <c r="B576" s="1">
        <v>1015</v>
      </c>
      <c r="C576" s="1">
        <f>VLOOKUP(B576,'NOVACART DATA'!$B$2:$C$1000,2,FALSE)</f>
        <v>80</v>
      </c>
      <c r="D576" s="1">
        <v>12</v>
      </c>
      <c r="E576" s="1" t="str">
        <f>VLOOKUP(B576,'NOVACART DATA'!$B$2:$M$1001,5,FALSE)</f>
        <v>Organic</v>
      </c>
      <c r="F576" s="1">
        <v>3</v>
      </c>
      <c r="G576" s="1">
        <v>8.4499999999999993</v>
      </c>
      <c r="H576" s="1">
        <v>5.5</v>
      </c>
      <c r="I576" s="17">
        <f t="shared" si="8"/>
        <v>23.955749999999998</v>
      </c>
      <c r="J576" s="1">
        <f>VLOOKUP(B576,'NOVACART DATA'!$B$2:$N$1001,13,FALSE)</f>
        <v>0</v>
      </c>
    </row>
    <row r="577" spans="1:10">
      <c r="A577" s="2">
        <f>VLOOKUP(B577,CHOOSE({1,2},'NOVACART DATA'!$B$2:$B$1001,'NOVACART DATA'!$A$2:$A$1001),2,FALSE)</f>
        <v>45954</v>
      </c>
      <c r="B577" s="1">
        <v>1046</v>
      </c>
      <c r="C577" s="1">
        <f>VLOOKUP(B577,'NOVACART DATA'!$B$2:$C$1000,2,FALSE)</f>
        <v>80</v>
      </c>
      <c r="D577" s="1">
        <v>7</v>
      </c>
      <c r="E577" s="1" t="str">
        <f>VLOOKUP(B577,'NOVACART DATA'!$B$2:$M$1001,5,FALSE)</f>
        <v>Organic</v>
      </c>
      <c r="F577" s="1">
        <v>1</v>
      </c>
      <c r="G577" s="1">
        <v>79.39</v>
      </c>
      <c r="H577" s="1">
        <v>0</v>
      </c>
      <c r="I577" s="17">
        <f t="shared" si="8"/>
        <v>79.39</v>
      </c>
      <c r="J577" s="1">
        <f>VLOOKUP(B577,'NOVACART DATA'!$B$2:$N$1001,13,FALSE)</f>
        <v>0</v>
      </c>
    </row>
    <row r="578" spans="1:10">
      <c r="A578" s="2">
        <f>VLOOKUP(B578,CHOOSE({1,2},'NOVACART DATA'!$B$2:$B$1001,'NOVACART DATA'!$A$2:$A$1001),2,FALSE)</f>
        <v>45954</v>
      </c>
      <c r="B578" s="1">
        <v>1046</v>
      </c>
      <c r="C578" s="1">
        <f>VLOOKUP(B578,'NOVACART DATA'!$B$2:$C$1000,2,FALSE)</f>
        <v>80</v>
      </c>
      <c r="D578" s="1">
        <v>39</v>
      </c>
      <c r="E578" s="1" t="str">
        <f>VLOOKUP(B578,'NOVACART DATA'!$B$2:$M$1001,5,FALSE)</f>
        <v>Organic</v>
      </c>
      <c r="F578" s="1">
        <v>3</v>
      </c>
      <c r="G578" s="1">
        <v>39.979999999999997</v>
      </c>
      <c r="H578" s="1">
        <v>10</v>
      </c>
      <c r="I578" s="17">
        <f t="shared" ref="I578:I641" si="9">F578*G578*(1-H578/100)</f>
        <v>107.946</v>
      </c>
      <c r="J578" s="1">
        <f>VLOOKUP(B578,'NOVACART DATA'!$B$2:$N$1001,13,FALSE)</f>
        <v>0</v>
      </c>
    </row>
    <row r="579" spans="1:10">
      <c r="A579" s="2">
        <f>VLOOKUP(B579,CHOOSE({1,2},'NOVACART DATA'!$B$2:$B$1001,'NOVACART DATA'!$A$2:$A$1001),2,FALSE)</f>
        <v>45954</v>
      </c>
      <c r="B579" s="1">
        <v>1046</v>
      </c>
      <c r="C579" s="1">
        <f>VLOOKUP(B579,'NOVACART DATA'!$B$2:$C$1000,2,FALSE)</f>
        <v>80</v>
      </c>
      <c r="D579" s="1">
        <v>23</v>
      </c>
      <c r="E579" s="1" t="str">
        <f>VLOOKUP(B579,'NOVACART DATA'!$B$2:$M$1001,5,FALSE)</f>
        <v>Organic</v>
      </c>
      <c r="F579" s="1">
        <v>1</v>
      </c>
      <c r="G579" s="1">
        <v>38.14</v>
      </c>
      <c r="H579" s="1">
        <v>0</v>
      </c>
      <c r="I579" s="17">
        <f t="shared" si="9"/>
        <v>38.14</v>
      </c>
      <c r="J579" s="1">
        <f>VLOOKUP(B579,'NOVACART DATA'!$B$2:$N$1001,13,FALSE)</f>
        <v>0</v>
      </c>
    </row>
    <row r="580" spans="1:10">
      <c r="A580" s="2">
        <f>VLOOKUP(B580,CHOOSE({1,2},'NOVACART DATA'!$B$2:$B$1001,'NOVACART DATA'!$A$2:$A$1001),2,FALSE)</f>
        <v>45954</v>
      </c>
      <c r="B580" s="1">
        <v>1046</v>
      </c>
      <c r="C580" s="1">
        <f>VLOOKUP(B580,'NOVACART DATA'!$B$2:$C$1000,2,FALSE)</f>
        <v>80</v>
      </c>
      <c r="D580" s="1">
        <v>33</v>
      </c>
      <c r="E580" s="1" t="str">
        <f>VLOOKUP(B580,'NOVACART DATA'!$B$2:$M$1001,5,FALSE)</f>
        <v>Organic</v>
      </c>
      <c r="F580" s="1">
        <v>3</v>
      </c>
      <c r="G580" s="1">
        <v>40.94</v>
      </c>
      <c r="H580" s="1">
        <v>10</v>
      </c>
      <c r="I580" s="17">
        <f t="shared" si="9"/>
        <v>110.538</v>
      </c>
      <c r="J580" s="1">
        <f>VLOOKUP(B580,'NOVACART DATA'!$B$2:$N$1001,13,FALSE)</f>
        <v>0</v>
      </c>
    </row>
    <row r="581" spans="1:10">
      <c r="A581" s="2">
        <f>VLOOKUP(B581,CHOOSE({1,2},'NOVACART DATA'!$B$2:$B$1001,'NOVACART DATA'!$A$2:$A$1001),2,FALSE)</f>
        <v>45959</v>
      </c>
      <c r="B581" s="1">
        <v>1053</v>
      </c>
      <c r="C581" s="1">
        <f>VLOOKUP(B581,'NOVACART DATA'!$B$2:$C$1000,2,FALSE)</f>
        <v>80</v>
      </c>
      <c r="D581" s="1">
        <v>35</v>
      </c>
      <c r="E581" s="1" t="str">
        <f>VLOOKUP(B581,'NOVACART DATA'!$B$2:$M$1001,5,FALSE)</f>
        <v>Organic</v>
      </c>
      <c r="F581" s="1">
        <v>1</v>
      </c>
      <c r="G581" s="1">
        <v>11.3</v>
      </c>
      <c r="H581" s="1">
        <v>0</v>
      </c>
      <c r="I581" s="17">
        <f t="shared" si="9"/>
        <v>11.3</v>
      </c>
      <c r="J581" s="1">
        <f>VLOOKUP(B581,'NOVACART DATA'!$B$2:$N$1001,13,FALSE)</f>
        <v>0</v>
      </c>
    </row>
    <row r="582" spans="1:10">
      <c r="A582" s="2">
        <f>VLOOKUP(B582,CHOOSE({1,2},'NOVACART DATA'!$B$2:$B$1001,'NOVACART DATA'!$A$2:$A$1001),2,FALSE)</f>
        <v>45959</v>
      </c>
      <c r="B582" s="1">
        <v>1053</v>
      </c>
      <c r="C582" s="1">
        <f>VLOOKUP(B582,'NOVACART DATA'!$B$2:$C$1000,2,FALSE)</f>
        <v>80</v>
      </c>
      <c r="D582" s="1">
        <v>14</v>
      </c>
      <c r="E582" s="1" t="str">
        <f>VLOOKUP(B582,'NOVACART DATA'!$B$2:$M$1001,5,FALSE)</f>
        <v>Organic</v>
      </c>
      <c r="F582" s="1">
        <v>1</v>
      </c>
      <c r="G582" s="1">
        <v>15.36</v>
      </c>
      <c r="H582" s="1">
        <v>0</v>
      </c>
      <c r="I582" s="17">
        <f t="shared" si="9"/>
        <v>15.36</v>
      </c>
      <c r="J582" s="1">
        <f>VLOOKUP(B582,'NOVACART DATA'!$B$2:$N$1001,13,FALSE)</f>
        <v>0</v>
      </c>
    </row>
    <row r="583" spans="1:10">
      <c r="A583" s="2">
        <f>VLOOKUP(B583,CHOOSE({1,2},'NOVACART DATA'!$B$2:$B$1001,'NOVACART DATA'!$A$2:$A$1001),2,FALSE)</f>
        <v>45969</v>
      </c>
      <c r="B583" s="1">
        <v>1092</v>
      </c>
      <c r="C583" s="1">
        <f>VLOOKUP(B583,'NOVACART DATA'!$B$2:$C$1000,2,FALSE)</f>
        <v>80</v>
      </c>
      <c r="D583" s="1">
        <v>12</v>
      </c>
      <c r="E583" s="1" t="str">
        <f>VLOOKUP(B583,'NOVACART DATA'!$B$2:$M$1001,5,FALSE)</f>
        <v>Organic</v>
      </c>
      <c r="F583" s="1">
        <v>1</v>
      </c>
      <c r="G583" s="1">
        <v>8.4499999999999993</v>
      </c>
      <c r="H583" s="1">
        <v>15</v>
      </c>
      <c r="I583" s="17">
        <f t="shared" si="9"/>
        <v>7.1824999999999992</v>
      </c>
      <c r="J583" s="1">
        <f>VLOOKUP(B583,'NOVACART DATA'!$B$2:$N$1001,13,FALSE)</f>
        <v>0</v>
      </c>
    </row>
    <row r="584" spans="1:10">
      <c r="A584" s="2">
        <f>VLOOKUP(B584,CHOOSE({1,2},'NOVACART DATA'!$B$2:$B$1001,'NOVACART DATA'!$A$2:$A$1001),2,FALSE)</f>
        <v>45975</v>
      </c>
      <c r="B584" s="1">
        <v>1127</v>
      </c>
      <c r="C584" s="1">
        <f>VLOOKUP(B584,'NOVACART DATA'!$B$2:$C$1000,2,FALSE)</f>
        <v>80</v>
      </c>
      <c r="D584" s="1">
        <v>7</v>
      </c>
      <c r="E584" s="1" t="str">
        <f>VLOOKUP(B584,'NOVACART DATA'!$B$2:$M$1001,5,FALSE)</f>
        <v>Organic</v>
      </c>
      <c r="F584" s="1">
        <v>1</v>
      </c>
      <c r="G584" s="1">
        <v>79.39</v>
      </c>
      <c r="H584" s="1">
        <v>5.5</v>
      </c>
      <c r="I584" s="17">
        <f t="shared" si="9"/>
        <v>75.02355</v>
      </c>
      <c r="J584" s="1">
        <f>VLOOKUP(B584,'NOVACART DATA'!$B$2:$N$1001,13,FALSE)</f>
        <v>0</v>
      </c>
    </row>
    <row r="585" spans="1:10">
      <c r="A585" s="2">
        <f>VLOOKUP(B585,CHOOSE({1,2},'NOVACART DATA'!$B$2:$B$1001,'NOVACART DATA'!$A$2:$A$1001),2,FALSE)</f>
        <v>45975</v>
      </c>
      <c r="B585" s="1">
        <v>1127</v>
      </c>
      <c r="C585" s="1">
        <f>VLOOKUP(B585,'NOVACART DATA'!$B$2:$C$1000,2,FALSE)</f>
        <v>80</v>
      </c>
      <c r="D585" s="1">
        <v>23</v>
      </c>
      <c r="E585" s="1" t="str">
        <f>VLOOKUP(B585,'NOVACART DATA'!$B$2:$M$1001,5,FALSE)</f>
        <v>Organic</v>
      </c>
      <c r="F585" s="1">
        <v>1</v>
      </c>
      <c r="G585" s="1">
        <v>38.14</v>
      </c>
      <c r="H585" s="1">
        <v>25</v>
      </c>
      <c r="I585" s="17">
        <f t="shared" si="9"/>
        <v>28.605</v>
      </c>
      <c r="J585" s="1">
        <f>VLOOKUP(B585,'NOVACART DATA'!$B$2:$N$1001,13,FALSE)</f>
        <v>0</v>
      </c>
    </row>
    <row r="586" spans="1:10">
      <c r="A586" s="2">
        <f>VLOOKUP(B586,CHOOSE({1,2},'NOVACART DATA'!$B$2:$B$1001,'NOVACART DATA'!$A$2:$A$1001),2,FALSE)</f>
        <v>45988</v>
      </c>
      <c r="B586" s="1">
        <v>1188</v>
      </c>
      <c r="C586" s="1">
        <f>VLOOKUP(B586,'NOVACART DATA'!$B$2:$C$1000,2,FALSE)</f>
        <v>80</v>
      </c>
      <c r="D586" s="1">
        <v>33</v>
      </c>
      <c r="E586" s="1" t="str">
        <f>VLOOKUP(B586,'NOVACART DATA'!$B$2:$M$1001,5,FALSE)</f>
        <v>Organic</v>
      </c>
      <c r="F586" s="1">
        <v>1</v>
      </c>
      <c r="G586" s="1">
        <v>40.94</v>
      </c>
      <c r="H586" s="1">
        <v>15</v>
      </c>
      <c r="I586" s="17">
        <f t="shared" si="9"/>
        <v>34.798999999999999</v>
      </c>
      <c r="J586" s="1">
        <f>VLOOKUP(B586,'NOVACART DATA'!$B$2:$N$1001,13,FALSE)</f>
        <v>0</v>
      </c>
    </row>
    <row r="587" spans="1:10">
      <c r="A587" s="2">
        <f>VLOOKUP(B587,CHOOSE({1,2},'NOVACART DATA'!$B$2:$B$1001,'NOVACART DATA'!$A$2:$A$1001),2,FALSE)</f>
        <v>45759</v>
      </c>
      <c r="B587" s="1">
        <v>1222</v>
      </c>
      <c r="C587" s="1">
        <f>VLOOKUP(B587,'NOVACART DATA'!$B$2:$C$1000,2,FALSE)</f>
        <v>80</v>
      </c>
      <c r="D587" s="1">
        <v>13</v>
      </c>
      <c r="E587" s="1" t="str">
        <f>VLOOKUP(B587,'NOVACART DATA'!$B$2:$M$1001,5,FALSE)</f>
        <v>Organic</v>
      </c>
      <c r="F587" s="1">
        <v>3</v>
      </c>
      <c r="G587" s="1">
        <v>54.9</v>
      </c>
      <c r="H587" s="1">
        <v>0</v>
      </c>
      <c r="I587" s="17">
        <f t="shared" si="9"/>
        <v>164.7</v>
      </c>
      <c r="J587" s="1">
        <f>VLOOKUP(B587,'NOVACART DATA'!$B$2:$N$1001,13,FALSE)</f>
        <v>0</v>
      </c>
    </row>
    <row r="588" spans="1:10">
      <c r="A588" s="2">
        <f>VLOOKUP(B588,CHOOSE({1,2},'NOVACART DATA'!$B$2:$B$1001,'NOVACART DATA'!$A$2:$A$1001),2,FALSE)</f>
        <v>45759</v>
      </c>
      <c r="B588" s="1">
        <v>1222</v>
      </c>
      <c r="C588" s="1">
        <f>VLOOKUP(B588,'NOVACART DATA'!$B$2:$C$1000,2,FALSE)</f>
        <v>80</v>
      </c>
      <c r="D588" s="1">
        <v>13</v>
      </c>
      <c r="E588" s="1" t="str">
        <f>VLOOKUP(B588,'NOVACART DATA'!$B$2:$M$1001,5,FALSE)</f>
        <v>Organic</v>
      </c>
      <c r="F588" s="1">
        <v>1</v>
      </c>
      <c r="G588" s="1">
        <v>54.9</v>
      </c>
      <c r="H588" s="1">
        <v>10</v>
      </c>
      <c r="I588" s="17">
        <f t="shared" si="9"/>
        <v>49.41</v>
      </c>
      <c r="J588" s="1">
        <f>VLOOKUP(B588,'NOVACART DATA'!$B$2:$N$1001,13,FALSE)</f>
        <v>0</v>
      </c>
    </row>
    <row r="589" spans="1:10">
      <c r="A589" s="2">
        <f>VLOOKUP(B589,CHOOSE({1,2},'NOVACART DATA'!$B$2:$B$1001,'NOVACART DATA'!$A$2:$A$1001),2,FALSE)</f>
        <v>45759</v>
      </c>
      <c r="B589" s="1">
        <v>1222</v>
      </c>
      <c r="C589" s="1">
        <f>VLOOKUP(B589,'NOVACART DATA'!$B$2:$C$1000,2,FALSE)</f>
        <v>80</v>
      </c>
      <c r="D589" s="1">
        <v>27</v>
      </c>
      <c r="E589" s="1" t="str">
        <f>VLOOKUP(B589,'NOVACART DATA'!$B$2:$M$1001,5,FALSE)</f>
        <v>Organic</v>
      </c>
      <c r="F589" s="1">
        <v>2</v>
      </c>
      <c r="G589" s="1">
        <v>27.3</v>
      </c>
      <c r="H589" s="1">
        <v>10</v>
      </c>
      <c r="I589" s="17">
        <f t="shared" si="9"/>
        <v>49.14</v>
      </c>
      <c r="J589" s="1">
        <f>VLOOKUP(B589,'NOVACART DATA'!$B$2:$N$1001,13,FALSE)</f>
        <v>0</v>
      </c>
    </row>
    <row r="590" spans="1:10">
      <c r="A590" s="2">
        <f>VLOOKUP(B590,CHOOSE({1,2},'NOVACART DATA'!$B$2:$B$1001,'NOVACART DATA'!$A$2:$A$1001),2,FALSE)</f>
        <v>45759</v>
      </c>
      <c r="B590" s="1">
        <v>1222</v>
      </c>
      <c r="C590" s="1">
        <f>VLOOKUP(B590,'NOVACART DATA'!$B$2:$C$1000,2,FALSE)</f>
        <v>80</v>
      </c>
      <c r="D590" s="1">
        <v>24</v>
      </c>
      <c r="E590" s="1" t="str">
        <f>VLOOKUP(B590,'NOVACART DATA'!$B$2:$M$1001,5,FALSE)</f>
        <v>Organic</v>
      </c>
      <c r="F590" s="1">
        <v>1</v>
      </c>
      <c r="G590" s="1">
        <v>43.42</v>
      </c>
      <c r="H590" s="1">
        <v>10</v>
      </c>
      <c r="I590" s="17">
        <f t="shared" si="9"/>
        <v>39.078000000000003</v>
      </c>
      <c r="J590" s="1">
        <f>VLOOKUP(B590,'NOVACART DATA'!$B$2:$N$1001,13,FALSE)</f>
        <v>0</v>
      </c>
    </row>
    <row r="591" spans="1:10">
      <c r="A591" s="2">
        <f>VLOOKUP(B591,CHOOSE({1,2},'NOVACART DATA'!$B$2:$B$1001,'NOVACART DATA'!$A$2:$A$1001),2,FALSE)</f>
        <v>46007</v>
      </c>
      <c r="B591" s="1">
        <v>1286</v>
      </c>
      <c r="C591" s="1">
        <f>VLOOKUP(B591,'NOVACART DATA'!$B$2:$C$1000,2,FALSE)</f>
        <v>80</v>
      </c>
      <c r="D591" s="1">
        <v>29</v>
      </c>
      <c r="E591" s="1" t="str">
        <f>VLOOKUP(B591,'NOVACART DATA'!$B$2:$M$1001,5,FALSE)</f>
        <v>Organic</v>
      </c>
      <c r="F591" s="1">
        <v>2</v>
      </c>
      <c r="G591" s="1">
        <v>45.67</v>
      </c>
      <c r="H591" s="1">
        <v>5</v>
      </c>
      <c r="I591" s="17">
        <f t="shared" si="9"/>
        <v>86.772999999999996</v>
      </c>
      <c r="J591" s="1">
        <f>VLOOKUP(B591,'NOVACART DATA'!$B$2:$N$1001,13,FALSE)</f>
        <v>0</v>
      </c>
    </row>
    <row r="592" spans="1:10">
      <c r="A592" s="2">
        <f>VLOOKUP(B592,CHOOSE({1,2},'NOVACART DATA'!$B$2:$B$1001,'NOVACART DATA'!$A$2:$A$1001),2,FALSE)</f>
        <v>46020</v>
      </c>
      <c r="B592" s="1">
        <v>1354</v>
      </c>
      <c r="C592" s="1">
        <f>VLOOKUP(B592,'NOVACART DATA'!$B$2:$C$1000,2,FALSE)</f>
        <v>80</v>
      </c>
      <c r="D592" s="1">
        <v>11</v>
      </c>
      <c r="E592" s="1" t="str">
        <f>VLOOKUP(B592,'NOVACART DATA'!$B$2:$M$1001,5,FALSE)</f>
        <v>Organic</v>
      </c>
      <c r="F592" s="1">
        <v>2</v>
      </c>
      <c r="G592" s="1">
        <v>58.35</v>
      </c>
      <c r="H592" s="1">
        <v>10</v>
      </c>
      <c r="I592" s="17">
        <f t="shared" si="9"/>
        <v>105.03</v>
      </c>
      <c r="J592" s="1">
        <f>VLOOKUP(B592,'NOVACART DATA'!$B$2:$N$1001,13,FALSE)</f>
        <v>0</v>
      </c>
    </row>
    <row r="593" spans="1:10">
      <c r="A593" s="2">
        <f>VLOOKUP(B593,CHOOSE({1,2},'NOVACART DATA'!$B$2:$B$1001,'NOVACART DATA'!$A$2:$A$1001),2,FALSE)</f>
        <v>46205</v>
      </c>
      <c r="B593" s="1">
        <v>1462</v>
      </c>
      <c r="C593" s="1">
        <f>VLOOKUP(B593,'NOVACART DATA'!$B$2:$C$1000,2,FALSE)</f>
        <v>80</v>
      </c>
      <c r="D593" s="1">
        <v>7</v>
      </c>
      <c r="E593" s="1" t="str">
        <f>VLOOKUP(B593,'NOVACART DATA'!$B$2:$M$1001,5,FALSE)</f>
        <v>Organic</v>
      </c>
      <c r="F593" s="1">
        <v>1</v>
      </c>
      <c r="G593" s="1">
        <v>79.39</v>
      </c>
      <c r="H593" s="1">
        <v>0</v>
      </c>
      <c r="I593" s="17">
        <f t="shared" si="9"/>
        <v>79.39</v>
      </c>
      <c r="J593" s="1">
        <f>VLOOKUP(B593,'NOVACART DATA'!$B$2:$N$1001,13,FALSE)</f>
        <v>0</v>
      </c>
    </row>
    <row r="594" spans="1:10">
      <c r="A594" s="2">
        <f>VLOOKUP(B594,CHOOSE({1,2},'NOVACART DATA'!$B$2:$B$1001,'NOVACART DATA'!$A$2:$A$1001),2,FALSE)</f>
        <v>46066</v>
      </c>
      <c r="B594" s="1">
        <v>1484</v>
      </c>
      <c r="C594" s="1">
        <f>VLOOKUP(B594,'NOVACART DATA'!$B$2:$C$1000,2,FALSE)</f>
        <v>80</v>
      </c>
      <c r="D594" s="1">
        <v>30</v>
      </c>
      <c r="E594" s="1" t="str">
        <f>VLOOKUP(B594,'NOVACART DATA'!$B$2:$M$1001,5,FALSE)</f>
        <v>Organic</v>
      </c>
      <c r="F594" s="1">
        <v>1</v>
      </c>
      <c r="G594" s="1">
        <v>41.49</v>
      </c>
      <c r="H594" s="1">
        <v>5</v>
      </c>
      <c r="I594" s="17">
        <f t="shared" si="9"/>
        <v>39.415500000000002</v>
      </c>
      <c r="J594" s="1">
        <f>VLOOKUP(B594,'NOVACART DATA'!$B$2:$N$1001,13,FALSE)</f>
        <v>0</v>
      </c>
    </row>
    <row r="595" spans="1:10">
      <c r="A595" s="2">
        <f>VLOOKUP(B595,CHOOSE({1,2},'NOVACART DATA'!$B$2:$B$1001,'NOVACART DATA'!$A$2:$A$1001),2,FALSE)</f>
        <v>46025</v>
      </c>
      <c r="B595" s="1">
        <v>1550</v>
      </c>
      <c r="C595" s="1">
        <f>VLOOKUP(B595,'NOVACART DATA'!$B$2:$C$1000,2,FALSE)</f>
        <v>80</v>
      </c>
      <c r="D595" s="1">
        <v>30</v>
      </c>
      <c r="E595" s="1" t="str">
        <f>VLOOKUP(B595,'NOVACART DATA'!$B$2:$M$1001,5,FALSE)</f>
        <v>Organic</v>
      </c>
      <c r="F595" s="1">
        <v>3</v>
      </c>
      <c r="G595" s="1">
        <v>41.49</v>
      </c>
      <c r="H595" s="1">
        <v>5</v>
      </c>
      <c r="I595" s="17">
        <f t="shared" si="9"/>
        <v>118.2465</v>
      </c>
      <c r="J595" s="1">
        <f>VLOOKUP(B595,'NOVACART DATA'!$B$2:$N$1001,13,FALSE)</f>
        <v>0</v>
      </c>
    </row>
    <row r="596" spans="1:10">
      <c r="A596" s="2">
        <f>VLOOKUP(B596,CHOOSE({1,2},'NOVACART DATA'!$B$2:$B$1001,'NOVACART DATA'!$A$2:$A$1001),2,FALSE)</f>
        <v>45989</v>
      </c>
      <c r="B596" s="1">
        <v>1192</v>
      </c>
      <c r="C596" s="1">
        <f>VLOOKUP(B596,'NOVACART DATA'!$B$2:$C$1000,2,FALSE)</f>
        <v>80</v>
      </c>
      <c r="D596" s="1">
        <v>24</v>
      </c>
      <c r="E596" s="1" t="str">
        <f>VLOOKUP(B596,'NOVACART DATA'!$B$2:$M$1001,5,FALSE)</f>
        <v>Organic</v>
      </c>
      <c r="F596" s="1">
        <v>3</v>
      </c>
      <c r="G596" s="1">
        <v>43.42</v>
      </c>
      <c r="H596" s="1">
        <v>0</v>
      </c>
      <c r="I596" s="17">
        <f t="shared" si="9"/>
        <v>130.26</v>
      </c>
      <c r="J596" s="1">
        <f>VLOOKUP(B596,'NOVACART DATA'!$B$2:$N$1001,13,FALSE)</f>
        <v>0</v>
      </c>
    </row>
    <row r="597" spans="1:10">
      <c r="A597" s="2">
        <f>VLOOKUP(B597,CHOOSE({1,2},'NOVACART DATA'!$B$2:$B$1001,'NOVACART DATA'!$A$2:$A$1001),2,FALSE)</f>
        <v>45941</v>
      </c>
      <c r="B597" s="1">
        <v>1105</v>
      </c>
      <c r="C597" s="1">
        <f>VLOOKUP(B597,'NOVACART DATA'!$B$2:$C$1000,2,FALSE)</f>
        <v>81</v>
      </c>
      <c r="D597" s="1">
        <v>13</v>
      </c>
      <c r="E597" s="1" t="str">
        <f>VLOOKUP(B597,'NOVACART DATA'!$B$2:$M$1001,5,FALSE)</f>
        <v>Paid Search</v>
      </c>
      <c r="F597" s="1">
        <v>3</v>
      </c>
      <c r="G597" s="1">
        <v>54.9</v>
      </c>
      <c r="H597" s="1">
        <v>0</v>
      </c>
      <c r="I597" s="17">
        <f t="shared" si="9"/>
        <v>164.7</v>
      </c>
      <c r="J597" s="1">
        <f>VLOOKUP(B597,'NOVACART DATA'!$B$2:$N$1001,13,FALSE)</f>
        <v>0</v>
      </c>
    </row>
    <row r="598" spans="1:10">
      <c r="A598" s="2">
        <f>VLOOKUP(B598,CHOOSE({1,2},'NOVACART DATA'!$B$2:$B$1001,'NOVACART DATA'!$A$2:$A$1001),2,FALSE)</f>
        <v>45976</v>
      </c>
      <c r="B598" s="1">
        <v>1132</v>
      </c>
      <c r="C598" s="1">
        <f>VLOOKUP(B598,'NOVACART DATA'!$B$2:$C$1000,2,FALSE)</f>
        <v>81</v>
      </c>
      <c r="D598" s="1">
        <v>29</v>
      </c>
      <c r="E598" s="1" t="str">
        <f>VLOOKUP(B598,'NOVACART DATA'!$B$2:$M$1001,5,FALSE)</f>
        <v>Paid Search</v>
      </c>
      <c r="F598" s="1">
        <v>3</v>
      </c>
      <c r="G598" s="1">
        <v>45.67</v>
      </c>
      <c r="H598" s="1">
        <v>0</v>
      </c>
      <c r="I598" s="17">
        <f t="shared" si="9"/>
        <v>137.01</v>
      </c>
      <c r="J598" s="1">
        <f>VLOOKUP(B598,'NOVACART DATA'!$B$2:$N$1001,13,FALSE)</f>
        <v>0</v>
      </c>
    </row>
    <row r="599" spans="1:10">
      <c r="A599" s="2">
        <f>VLOOKUP(B599,CHOOSE({1,2},'NOVACART DATA'!$B$2:$B$1001,'NOVACART DATA'!$A$2:$A$1001),2,FALSE)</f>
        <v>46005</v>
      </c>
      <c r="B599" s="1">
        <v>1278</v>
      </c>
      <c r="C599" s="1">
        <f>VLOOKUP(B599,'NOVACART DATA'!$B$2:$C$1000,2,FALSE)</f>
        <v>81</v>
      </c>
      <c r="D599" s="1">
        <v>6</v>
      </c>
      <c r="E599" s="1" t="str">
        <f>VLOOKUP(B599,'NOVACART DATA'!$B$2:$M$1001,5,FALSE)</f>
        <v>Paid Search</v>
      </c>
      <c r="F599" s="1">
        <v>3</v>
      </c>
      <c r="G599" s="1">
        <v>70.47</v>
      </c>
      <c r="H599" s="1">
        <v>0</v>
      </c>
      <c r="I599" s="17">
        <f t="shared" si="9"/>
        <v>211.41</v>
      </c>
      <c r="J599" s="1">
        <f>VLOOKUP(B599,'NOVACART DATA'!$B$2:$N$1001,13,FALSE)</f>
        <v>0</v>
      </c>
    </row>
    <row r="600" spans="1:10">
      <c r="A600" s="2">
        <f>VLOOKUP(B600,CHOOSE({1,2},'NOVACART DATA'!$B$2:$B$1001,'NOVACART DATA'!$A$2:$A$1001),2,FALSE)</f>
        <v>46008</v>
      </c>
      <c r="B600" s="1">
        <v>1289</v>
      </c>
      <c r="C600" s="1">
        <f>VLOOKUP(B600,'NOVACART DATA'!$B$2:$C$1000,2,FALSE)</f>
        <v>81</v>
      </c>
      <c r="D600" s="1">
        <v>7</v>
      </c>
      <c r="E600" s="1" t="str">
        <f>VLOOKUP(B600,'NOVACART DATA'!$B$2:$M$1001,5,FALSE)</f>
        <v>Paid Search</v>
      </c>
      <c r="F600" s="1">
        <v>1</v>
      </c>
      <c r="G600" s="1">
        <v>79.39</v>
      </c>
      <c r="H600" s="1">
        <v>0</v>
      </c>
      <c r="I600" s="17">
        <f t="shared" si="9"/>
        <v>79.39</v>
      </c>
      <c r="J600" s="1">
        <f>VLOOKUP(B600,'NOVACART DATA'!$B$2:$N$1001,13,FALSE)</f>
        <v>1</v>
      </c>
    </row>
    <row r="601" spans="1:10">
      <c r="A601" s="2">
        <f>VLOOKUP(B601,CHOOSE({1,2},'NOVACART DATA'!$B$2:$B$1001,'NOVACART DATA'!$A$2:$A$1001),2,FALSE)</f>
        <v>46008</v>
      </c>
      <c r="B601" s="1">
        <v>1289</v>
      </c>
      <c r="C601" s="1">
        <f>VLOOKUP(B601,'NOVACART DATA'!$B$2:$C$1000,2,FALSE)</f>
        <v>81</v>
      </c>
      <c r="D601" s="1">
        <v>38</v>
      </c>
      <c r="E601" s="1" t="str">
        <f>VLOOKUP(B601,'NOVACART DATA'!$B$2:$M$1001,5,FALSE)</f>
        <v>Paid Search</v>
      </c>
      <c r="F601" s="1">
        <v>2</v>
      </c>
      <c r="G601" s="1">
        <v>25.14</v>
      </c>
      <c r="H601" s="1">
        <v>0</v>
      </c>
      <c r="I601" s="17">
        <f t="shared" si="9"/>
        <v>50.28</v>
      </c>
      <c r="J601" s="1">
        <f>VLOOKUP(B601,'NOVACART DATA'!$B$2:$N$1001,13,FALSE)</f>
        <v>1</v>
      </c>
    </row>
    <row r="602" spans="1:10">
      <c r="A602" s="2">
        <f>VLOOKUP(B602,CHOOSE({1,2},'NOVACART DATA'!$B$2:$B$1001,'NOVACART DATA'!$A$2:$A$1001),2,FALSE)</f>
        <v>46008</v>
      </c>
      <c r="B602" s="1">
        <v>1289</v>
      </c>
      <c r="C602" s="1">
        <f>VLOOKUP(B602,'NOVACART DATA'!$B$2:$C$1000,2,FALSE)</f>
        <v>81</v>
      </c>
      <c r="D602" s="1">
        <v>18</v>
      </c>
      <c r="E602" s="1" t="str">
        <f>VLOOKUP(B602,'NOVACART DATA'!$B$2:$M$1001,5,FALSE)</f>
        <v>Paid Search</v>
      </c>
      <c r="F602" s="1">
        <v>1</v>
      </c>
      <c r="G602" s="1">
        <v>44.01</v>
      </c>
      <c r="H602" s="1">
        <v>0</v>
      </c>
      <c r="I602" s="17">
        <f t="shared" si="9"/>
        <v>44.01</v>
      </c>
      <c r="J602" s="1">
        <f>VLOOKUP(B602,'NOVACART DATA'!$B$2:$N$1001,13,FALSE)</f>
        <v>1</v>
      </c>
    </row>
    <row r="603" spans="1:10">
      <c r="A603" s="2">
        <f>VLOOKUP(B603,CHOOSE({1,2},'NOVACART DATA'!$B$2:$B$1001,'NOVACART DATA'!$A$2:$A$1001),2,FALSE)</f>
        <v>45971</v>
      </c>
      <c r="B603" s="1">
        <v>1003</v>
      </c>
      <c r="C603" s="1">
        <f>VLOOKUP(B603,'NOVACART DATA'!$B$2:$C$1000,2,FALSE)</f>
        <v>82</v>
      </c>
      <c r="D603" s="1">
        <v>18</v>
      </c>
      <c r="E603" s="1" t="str">
        <f>VLOOKUP(B603,'NOVACART DATA'!$B$2:$M$1001,5,FALSE)</f>
        <v>Direct</v>
      </c>
      <c r="F603" s="1">
        <v>1</v>
      </c>
      <c r="G603" s="1">
        <v>44.01</v>
      </c>
      <c r="H603" s="1">
        <v>25</v>
      </c>
      <c r="I603" s="17">
        <f t="shared" si="9"/>
        <v>33.0075</v>
      </c>
      <c r="J603" s="1">
        <f>VLOOKUP(B603,'NOVACART DATA'!$B$2:$N$1001,13,FALSE)</f>
        <v>0</v>
      </c>
    </row>
    <row r="604" spans="1:10">
      <c r="A604" s="2">
        <f>VLOOKUP(B604,CHOOSE({1,2},'NOVACART DATA'!$B$2:$B$1001,'NOVACART DATA'!$A$2:$A$1001),2,FALSE)</f>
        <v>46001</v>
      </c>
      <c r="B604" s="1">
        <v>1007</v>
      </c>
      <c r="C604" s="1">
        <f>VLOOKUP(B604,'NOVACART DATA'!$B$2:$C$1000,2,FALSE)</f>
        <v>82</v>
      </c>
      <c r="D604" s="1">
        <v>39</v>
      </c>
      <c r="E604" s="1" t="str">
        <f>VLOOKUP(B604,'NOVACART DATA'!$B$2:$M$1001,5,FALSE)</f>
        <v>Direct</v>
      </c>
      <c r="F604" s="1">
        <v>1</v>
      </c>
      <c r="G604" s="1">
        <v>39.979999999999997</v>
      </c>
      <c r="H604" s="1">
        <v>5</v>
      </c>
      <c r="I604" s="17">
        <f t="shared" si="9"/>
        <v>37.980999999999995</v>
      </c>
      <c r="J604" s="1">
        <f>VLOOKUP(B604,'NOVACART DATA'!$B$2:$N$1001,13,FALSE)</f>
        <v>0</v>
      </c>
    </row>
    <row r="605" spans="1:10">
      <c r="A605" s="2">
        <f>VLOOKUP(B605,CHOOSE({1,2},'NOVACART DATA'!$B$2:$B$1001,'NOVACART DATA'!$A$2:$A$1001),2,FALSE)</f>
        <v>46001</v>
      </c>
      <c r="B605" s="1">
        <v>1007</v>
      </c>
      <c r="C605" s="1">
        <f>VLOOKUP(B605,'NOVACART DATA'!$B$2:$C$1000,2,FALSE)</f>
        <v>82</v>
      </c>
      <c r="D605" s="1">
        <v>28</v>
      </c>
      <c r="E605" s="1" t="str">
        <f>VLOOKUP(B605,'NOVACART DATA'!$B$2:$M$1001,5,FALSE)</f>
        <v>Direct</v>
      </c>
      <c r="F605" s="1">
        <v>1</v>
      </c>
      <c r="G605" s="1">
        <v>21.24</v>
      </c>
      <c r="H605" s="1">
        <v>10</v>
      </c>
      <c r="I605" s="17">
        <f t="shared" si="9"/>
        <v>19.116</v>
      </c>
      <c r="J605" s="1">
        <f>VLOOKUP(B605,'NOVACART DATA'!$B$2:$N$1001,13,FALSE)</f>
        <v>0</v>
      </c>
    </row>
    <row r="606" spans="1:10">
      <c r="A606" s="2">
        <f>VLOOKUP(B606,CHOOSE({1,2},'NOVACART DATA'!$B$2:$B$1001,'NOVACART DATA'!$A$2:$A$1001),2,FALSE)</f>
        <v>46001</v>
      </c>
      <c r="B606" s="1">
        <v>1007</v>
      </c>
      <c r="C606" s="1">
        <f>VLOOKUP(B606,'NOVACART DATA'!$B$2:$C$1000,2,FALSE)</f>
        <v>82</v>
      </c>
      <c r="D606" s="1">
        <v>5</v>
      </c>
      <c r="E606" s="1" t="str">
        <f>VLOOKUP(B606,'NOVACART DATA'!$B$2:$M$1001,5,FALSE)</f>
        <v>Direct</v>
      </c>
      <c r="F606" s="1">
        <v>1</v>
      </c>
      <c r="G606" s="1">
        <v>42.53</v>
      </c>
      <c r="H606" s="1">
        <v>0</v>
      </c>
      <c r="I606" s="17">
        <f t="shared" si="9"/>
        <v>42.53</v>
      </c>
      <c r="J606" s="1">
        <f>VLOOKUP(B606,'NOVACART DATA'!$B$2:$N$1001,13,FALSE)</f>
        <v>0</v>
      </c>
    </row>
    <row r="607" spans="1:10">
      <c r="A607" s="2">
        <f>VLOOKUP(B607,CHOOSE({1,2},'NOVACART DATA'!$B$2:$B$1001,'NOVACART DATA'!$A$2:$A$1001),2,FALSE)</f>
        <v>46001</v>
      </c>
      <c r="B607" s="1">
        <v>1007</v>
      </c>
      <c r="C607" s="1">
        <f>VLOOKUP(B607,'NOVACART DATA'!$B$2:$C$1000,2,FALSE)</f>
        <v>82</v>
      </c>
      <c r="D607" s="1">
        <v>23</v>
      </c>
      <c r="E607" s="1" t="str">
        <f>VLOOKUP(B607,'NOVACART DATA'!$B$2:$M$1001,5,FALSE)</f>
        <v>Direct</v>
      </c>
      <c r="F607" s="1">
        <v>1</v>
      </c>
      <c r="G607" s="1">
        <v>38.14</v>
      </c>
      <c r="H607" s="1">
        <v>0</v>
      </c>
      <c r="I607" s="17">
        <f t="shared" si="9"/>
        <v>38.14</v>
      </c>
      <c r="J607" s="1">
        <f>VLOOKUP(B607,'NOVACART DATA'!$B$2:$N$1001,13,FALSE)</f>
        <v>0</v>
      </c>
    </row>
    <row r="608" spans="1:10">
      <c r="A608" s="2">
        <f>VLOOKUP(B608,CHOOSE({1,2},'NOVACART DATA'!$B$2:$B$1001,'NOVACART DATA'!$A$2:$A$1001),2,FALSE)</f>
        <v>46016</v>
      </c>
      <c r="B608" s="1">
        <v>1082</v>
      </c>
      <c r="C608" s="1">
        <f>VLOOKUP(B608,'NOVACART DATA'!$B$2:$C$1000,2,FALSE)</f>
        <v>2</v>
      </c>
      <c r="D608" s="1">
        <v>37</v>
      </c>
      <c r="E608" s="1" t="str">
        <f>VLOOKUP(B608,'NOVACART DATA'!$B$2:$M$1001,5,FALSE)</f>
        <v>Direct</v>
      </c>
      <c r="F608" s="1">
        <v>1</v>
      </c>
      <c r="G608" s="1">
        <v>52.67</v>
      </c>
      <c r="H608" s="1">
        <v>10</v>
      </c>
      <c r="I608" s="17">
        <f t="shared" si="9"/>
        <v>47.403000000000006</v>
      </c>
      <c r="J608" s="1">
        <f>VLOOKUP(B608,'NOVACART DATA'!$B$2:$N$1001,13,FALSE)</f>
        <v>0</v>
      </c>
    </row>
    <row r="609" spans="1:10">
      <c r="A609" s="2">
        <f>VLOOKUP(B609,CHOOSE({1,2},'NOVACART DATA'!$B$2:$B$1001,'NOVACART DATA'!$A$2:$A$1001),2,FALSE)</f>
        <v>46016</v>
      </c>
      <c r="B609" s="1">
        <v>1082</v>
      </c>
      <c r="C609" s="1">
        <f>VLOOKUP(B609,'NOVACART DATA'!$B$2:$C$1000,2,FALSE)</f>
        <v>2</v>
      </c>
      <c r="D609" s="1">
        <v>8</v>
      </c>
      <c r="E609" s="1" t="str">
        <f>VLOOKUP(B609,'NOVACART DATA'!$B$2:$M$1001,5,FALSE)</f>
        <v>Direct</v>
      </c>
      <c r="F609" s="1">
        <v>3</v>
      </c>
      <c r="G609" s="1">
        <v>16.72</v>
      </c>
      <c r="H609" s="1">
        <v>0</v>
      </c>
      <c r="I609" s="17">
        <f t="shared" si="9"/>
        <v>50.16</v>
      </c>
      <c r="J609" s="1">
        <f>VLOOKUP(B609,'NOVACART DATA'!$B$2:$N$1001,13,FALSE)</f>
        <v>0</v>
      </c>
    </row>
    <row r="610" spans="1:10">
      <c r="A610" s="2">
        <f>VLOOKUP(B610,CHOOSE({1,2},'NOVACART DATA'!$B$2:$B$1001,'NOVACART DATA'!$A$2:$A$1001),2,FALSE)</f>
        <v>45977</v>
      </c>
      <c r="B610" s="1">
        <v>1135</v>
      </c>
      <c r="C610" s="1">
        <f>VLOOKUP(B610,'NOVACART DATA'!$B$2:$C$1000,2,FALSE)</f>
        <v>82</v>
      </c>
      <c r="D610" s="1">
        <v>14</v>
      </c>
      <c r="E610" s="1" t="str">
        <f>VLOOKUP(B610,'NOVACART DATA'!$B$2:$M$1001,5,FALSE)</f>
        <v>Direct</v>
      </c>
      <c r="F610" s="1">
        <v>2</v>
      </c>
      <c r="G610" s="1">
        <v>15.36</v>
      </c>
      <c r="H610" s="1">
        <v>0</v>
      </c>
      <c r="I610" s="17">
        <f t="shared" si="9"/>
        <v>30.72</v>
      </c>
      <c r="J610" s="1">
        <f>VLOOKUP(B610,'NOVACART DATA'!$B$2:$N$1001,13,FALSE)</f>
        <v>0</v>
      </c>
    </row>
    <row r="611" spans="1:10">
      <c r="A611" s="2">
        <f>VLOOKUP(B611,CHOOSE({1,2},'NOVACART DATA'!$B$2:$B$1001,'NOVACART DATA'!$A$2:$A$1001),2,FALSE)</f>
        <v>45977</v>
      </c>
      <c r="B611" s="1">
        <v>1135</v>
      </c>
      <c r="C611" s="1">
        <f>VLOOKUP(B611,'NOVACART DATA'!$B$2:$C$1000,2,FALSE)</f>
        <v>82</v>
      </c>
      <c r="D611" s="1">
        <v>39</v>
      </c>
      <c r="E611" s="1" t="str">
        <f>VLOOKUP(B611,'NOVACART DATA'!$B$2:$M$1001,5,FALSE)</f>
        <v>Direct</v>
      </c>
      <c r="F611" s="1">
        <v>1</v>
      </c>
      <c r="G611" s="1">
        <v>38.869999999999997</v>
      </c>
      <c r="H611" s="1">
        <v>0</v>
      </c>
      <c r="I611" s="17">
        <f t="shared" si="9"/>
        <v>38.869999999999997</v>
      </c>
      <c r="J611" s="1">
        <f>VLOOKUP(B611,'NOVACART DATA'!$B$2:$N$1001,13,FALSE)</f>
        <v>0</v>
      </c>
    </row>
    <row r="612" spans="1:10">
      <c r="A612" s="2">
        <f>VLOOKUP(B612,CHOOSE({1,2},'NOVACART DATA'!$B$2:$B$1001,'NOVACART DATA'!$A$2:$A$1001),2,FALSE)</f>
        <v>45728</v>
      </c>
      <c r="B612" s="1">
        <v>1219</v>
      </c>
      <c r="C612" s="1">
        <f>VLOOKUP(B612,'NOVACART DATA'!$B$2:$C$1000,2,FALSE)</f>
        <v>82</v>
      </c>
      <c r="D612" s="1">
        <v>22</v>
      </c>
      <c r="E612" s="1" t="str">
        <f>VLOOKUP(B612,'NOVACART DATA'!$B$2:$M$1001,5,FALSE)</f>
        <v>Direct</v>
      </c>
      <c r="F612" s="1">
        <v>2</v>
      </c>
      <c r="G612" s="1">
        <v>29.98</v>
      </c>
      <c r="H612" s="1">
        <v>0</v>
      </c>
      <c r="I612" s="17">
        <f t="shared" si="9"/>
        <v>59.96</v>
      </c>
      <c r="J612" s="1">
        <f>VLOOKUP(B612,'NOVACART DATA'!$B$2:$N$1001,13,FALSE)</f>
        <v>1</v>
      </c>
    </row>
    <row r="613" spans="1:10">
      <c r="A613" s="2">
        <f>VLOOKUP(B613,CHOOSE({1,2},'NOVACART DATA'!$B$2:$B$1001,'NOVACART DATA'!$A$2:$A$1001),2,FALSE)</f>
        <v>46010</v>
      </c>
      <c r="B613" s="1">
        <v>1299</v>
      </c>
      <c r="C613" s="1">
        <f>VLOOKUP(B613,'NOVACART DATA'!$B$2:$C$1000,2,FALSE)</f>
        <v>82</v>
      </c>
      <c r="D613" s="1">
        <v>8</v>
      </c>
      <c r="E613" s="1" t="str">
        <f>VLOOKUP(B613,'NOVACART DATA'!$B$2:$M$1001,5,FALSE)</f>
        <v>Direct</v>
      </c>
      <c r="F613" s="1">
        <v>1</v>
      </c>
      <c r="G613" s="1">
        <v>16.72</v>
      </c>
      <c r="H613" s="1">
        <v>0</v>
      </c>
      <c r="I613" s="17">
        <f t="shared" si="9"/>
        <v>16.72</v>
      </c>
      <c r="J613" s="1">
        <f>VLOOKUP(B613,'NOVACART DATA'!$B$2:$N$1001,13,FALSE)</f>
        <v>0</v>
      </c>
    </row>
    <row r="614" spans="1:10">
      <c r="A614" s="2">
        <f>VLOOKUP(B614,CHOOSE({1,2},'NOVACART DATA'!$B$2:$B$1001,'NOVACART DATA'!$A$2:$A$1001),2,FALSE)</f>
        <v>46013</v>
      </c>
      <c r="B614" s="1">
        <v>1309</v>
      </c>
      <c r="C614" s="1">
        <f>VLOOKUP(B614,'NOVACART DATA'!$B$2:$C$1000,2,FALSE)</f>
        <v>82</v>
      </c>
      <c r="D614" s="1">
        <v>19</v>
      </c>
      <c r="E614" s="1" t="str">
        <f>VLOOKUP(B614,'NOVACART DATA'!$B$2:$M$1001,5,FALSE)</f>
        <v>Organic</v>
      </c>
      <c r="F614" s="1">
        <v>2</v>
      </c>
      <c r="G614" s="1">
        <v>50.14</v>
      </c>
      <c r="H614" s="1">
        <v>5.5</v>
      </c>
      <c r="I614" s="17">
        <f t="shared" si="9"/>
        <v>94.764600000000002</v>
      </c>
      <c r="J614" s="1">
        <f>VLOOKUP(B614,'NOVACART DATA'!$B$2:$N$1001,13,FALSE)</f>
        <v>0</v>
      </c>
    </row>
    <row r="615" spans="1:10">
      <c r="A615" s="2">
        <f>VLOOKUP(B615,CHOOSE({1,2},'NOVACART DATA'!$B$2:$B$1001,'NOVACART DATA'!$A$2:$A$1001),2,FALSE)</f>
        <v>46013</v>
      </c>
      <c r="B615" s="1">
        <v>1309</v>
      </c>
      <c r="C615" s="1">
        <f>VLOOKUP(B615,'NOVACART DATA'!$B$2:$C$1000,2,FALSE)</f>
        <v>82</v>
      </c>
      <c r="D615" s="1">
        <v>5</v>
      </c>
      <c r="E615" s="1" t="str">
        <f>VLOOKUP(B615,'NOVACART DATA'!$B$2:$M$1001,5,FALSE)</f>
        <v>Organic</v>
      </c>
      <c r="F615" s="1">
        <v>2</v>
      </c>
      <c r="G615" s="1">
        <v>42.53</v>
      </c>
      <c r="H615" s="1">
        <v>0</v>
      </c>
      <c r="I615" s="17">
        <f t="shared" si="9"/>
        <v>85.06</v>
      </c>
      <c r="J615" s="1">
        <f>VLOOKUP(B615,'NOVACART DATA'!$B$2:$N$1001,13,FALSE)</f>
        <v>0</v>
      </c>
    </row>
    <row r="616" spans="1:10">
      <c r="A616" s="2">
        <f>VLOOKUP(B616,CHOOSE({1,2},'NOVACART DATA'!$B$2:$B$1001,'NOVACART DATA'!$A$2:$A$1001),2,FALSE)</f>
        <v>46013</v>
      </c>
      <c r="B616" s="1">
        <v>1309</v>
      </c>
      <c r="C616" s="1">
        <f>VLOOKUP(B616,'NOVACART DATA'!$B$2:$C$1000,2,FALSE)</f>
        <v>82</v>
      </c>
      <c r="D616" s="1">
        <v>5</v>
      </c>
      <c r="E616" s="1" t="str">
        <f>VLOOKUP(B616,'NOVACART DATA'!$B$2:$M$1001,5,FALSE)</f>
        <v>Organic</v>
      </c>
      <c r="F616" s="1">
        <v>1</v>
      </c>
      <c r="G616" s="1">
        <v>42.53</v>
      </c>
      <c r="H616" s="1">
        <v>5</v>
      </c>
      <c r="I616" s="17">
        <f t="shared" si="9"/>
        <v>40.403500000000001</v>
      </c>
      <c r="J616" s="1">
        <f>VLOOKUP(B616,'NOVACART DATA'!$B$2:$N$1001,13,FALSE)</f>
        <v>0</v>
      </c>
    </row>
    <row r="617" spans="1:10">
      <c r="A617" s="2">
        <f>VLOOKUP(B617,CHOOSE({1,2},'NOVACART DATA'!$B$2:$B$1001,'NOVACART DATA'!$A$2:$A$1001),2,FALSE)</f>
        <v>46020</v>
      </c>
      <c r="B617" s="1">
        <v>1355</v>
      </c>
      <c r="C617" s="1">
        <f>VLOOKUP(B617,'NOVACART DATA'!$B$2:$C$1000,2,FALSE)</f>
        <v>82</v>
      </c>
      <c r="D617" s="1">
        <v>4</v>
      </c>
      <c r="E617" s="1" t="str">
        <f>VLOOKUP(B617,'NOVACART DATA'!$B$2:$M$1001,5,FALSE)</f>
        <v>Direct</v>
      </c>
      <c r="F617" s="1">
        <v>2</v>
      </c>
      <c r="G617" s="1">
        <v>34.83</v>
      </c>
      <c r="H617" s="1">
        <v>5</v>
      </c>
      <c r="I617" s="17">
        <f t="shared" si="9"/>
        <v>66.176999999999992</v>
      </c>
      <c r="J617" s="1">
        <f>VLOOKUP(B617,'NOVACART DATA'!$B$2:$N$1001,13,FALSE)</f>
        <v>0</v>
      </c>
    </row>
    <row r="618" spans="1:10">
      <c r="A618" s="2">
        <f>VLOOKUP(B618,CHOOSE({1,2},'NOVACART DATA'!$B$2:$B$1001,'NOVACART DATA'!$A$2:$A$1001),2,FALSE)</f>
        <v>46045</v>
      </c>
      <c r="B618" s="1">
        <v>1423</v>
      </c>
      <c r="C618" s="1">
        <f>VLOOKUP(B618,'NOVACART DATA'!$B$2:$C$1000,2,FALSE)</f>
        <v>82</v>
      </c>
      <c r="D618" s="1">
        <v>23</v>
      </c>
      <c r="E618" s="1" t="str">
        <f>VLOOKUP(B618,'NOVACART DATA'!$B$2:$M$1001,5,FALSE)</f>
        <v>Direct</v>
      </c>
      <c r="F618" s="1">
        <v>1</v>
      </c>
      <c r="G618" s="1">
        <v>38.14</v>
      </c>
      <c r="H618" s="1">
        <v>15</v>
      </c>
      <c r="I618" s="17">
        <f t="shared" si="9"/>
        <v>32.418999999999997</v>
      </c>
      <c r="J618" s="1">
        <f>VLOOKUP(B618,'NOVACART DATA'!$B$2:$N$1001,13,FALSE)</f>
        <v>0</v>
      </c>
    </row>
    <row r="619" spans="1:10">
      <c r="A619" s="2">
        <f>VLOOKUP(B619,CHOOSE({1,2},'NOVACART DATA'!$B$2:$B$1001,'NOVACART DATA'!$A$2:$A$1001),2,FALSE)</f>
        <v>46045</v>
      </c>
      <c r="B619" s="1">
        <v>1423</v>
      </c>
      <c r="C619" s="1">
        <f>VLOOKUP(B619,'NOVACART DATA'!$B$2:$C$1000,2,FALSE)</f>
        <v>82</v>
      </c>
      <c r="D619" s="1">
        <v>4</v>
      </c>
      <c r="E619" s="1" t="str">
        <f>VLOOKUP(B619,'NOVACART DATA'!$B$2:$M$1001,5,FALSE)</f>
        <v>Direct</v>
      </c>
      <c r="F619" s="1">
        <v>2</v>
      </c>
      <c r="G619" s="1">
        <v>34.83</v>
      </c>
      <c r="H619" s="1">
        <v>20</v>
      </c>
      <c r="I619" s="17">
        <f t="shared" si="9"/>
        <v>55.728000000000002</v>
      </c>
      <c r="J619" s="1">
        <f>VLOOKUP(B619,'NOVACART DATA'!$B$2:$N$1001,13,FALSE)</f>
        <v>0</v>
      </c>
    </row>
    <row r="620" spans="1:10">
      <c r="A620" s="2">
        <f>VLOOKUP(B620,CHOOSE({1,2},'NOVACART DATA'!$B$2:$B$1001,'NOVACART DATA'!$A$2:$A$1001),2,FALSE)</f>
        <v>45881</v>
      </c>
      <c r="B620" s="1">
        <v>1239</v>
      </c>
      <c r="C620" s="1">
        <f>VLOOKUP(B620,'NOVACART DATA'!$B$2:$C$1000,2,FALSE)</f>
        <v>83</v>
      </c>
      <c r="D620" s="1">
        <v>6</v>
      </c>
      <c r="E620" s="1" t="str">
        <f>VLOOKUP(B620,'NOVACART DATA'!$B$2:$M$1001,5,FALSE)</f>
        <v>Email</v>
      </c>
      <c r="F620" s="1">
        <v>1</v>
      </c>
      <c r="G620" s="1">
        <v>70.47</v>
      </c>
      <c r="H620" s="1">
        <v>0</v>
      </c>
      <c r="I620" s="17">
        <f t="shared" si="9"/>
        <v>70.47</v>
      </c>
      <c r="J620" s="1">
        <f>VLOOKUP(B620,'NOVACART DATA'!$B$2:$N$1001,13,FALSE)</f>
        <v>0</v>
      </c>
    </row>
    <row r="621" spans="1:10">
      <c r="A621" s="2">
        <f>VLOOKUP(B621,CHOOSE({1,2},'NOVACART DATA'!$B$2:$B$1001,'NOVACART DATA'!$A$2:$A$1001),2,FALSE)</f>
        <v>46009</v>
      </c>
      <c r="B621" s="1">
        <v>1293</v>
      </c>
      <c r="C621" s="1">
        <f>VLOOKUP(B621,'NOVACART DATA'!$B$2:$C$1000,2,FALSE)</f>
        <v>83</v>
      </c>
      <c r="D621" s="1">
        <v>17</v>
      </c>
      <c r="E621" s="1" t="str">
        <f>VLOOKUP(B621,'NOVACART DATA'!$B$2:$M$1001,5,FALSE)</f>
        <v>Email</v>
      </c>
      <c r="F621" s="1">
        <v>1</v>
      </c>
      <c r="G621" s="1">
        <v>6.61</v>
      </c>
      <c r="H621" s="1">
        <v>15</v>
      </c>
      <c r="I621" s="17">
        <f t="shared" si="9"/>
        <v>5.6185</v>
      </c>
      <c r="J621" s="1">
        <f>VLOOKUP(B621,'NOVACART DATA'!$B$2:$N$1001,13,FALSE)</f>
        <v>0</v>
      </c>
    </row>
    <row r="622" spans="1:10">
      <c r="A622" s="2">
        <f>VLOOKUP(B622,CHOOSE({1,2},'NOVACART DATA'!$B$2:$B$1001,'NOVACART DATA'!$A$2:$A$1001),2,FALSE)</f>
        <v>46074</v>
      </c>
      <c r="B622" s="1">
        <v>1515</v>
      </c>
      <c r="C622" s="1">
        <f>VLOOKUP(B622,'NOVACART DATA'!$B$2:$C$1000,2,FALSE)</f>
        <v>83</v>
      </c>
      <c r="D622" s="1">
        <v>21</v>
      </c>
      <c r="E622" s="1" t="str">
        <f>VLOOKUP(B622,'NOVACART DATA'!$B$2:$M$1001,5,FALSE)</f>
        <v>Email</v>
      </c>
      <c r="F622" s="1">
        <v>3</v>
      </c>
      <c r="G622" s="1">
        <v>49.37</v>
      </c>
      <c r="H622" s="1">
        <v>20</v>
      </c>
      <c r="I622" s="17">
        <f t="shared" si="9"/>
        <v>118.488</v>
      </c>
      <c r="J622" s="1">
        <f>VLOOKUP(B622,'NOVACART DATA'!$B$2:$N$1001,13,FALSE)</f>
        <v>0</v>
      </c>
    </row>
    <row r="623" spans="1:10">
      <c r="A623" s="2">
        <f>VLOOKUP(B623,CHOOSE({1,2},'NOVACART DATA'!$B$2:$B$1001,'NOVACART DATA'!$A$2:$A$1001),2,FALSE)</f>
        <v>45987</v>
      </c>
      <c r="B623" s="1">
        <v>1181</v>
      </c>
      <c r="C623" s="1">
        <f>VLOOKUP(B623,'NOVACART DATA'!$B$2:$C$1000,2,FALSE)</f>
        <v>84</v>
      </c>
      <c r="D623" s="1">
        <v>25</v>
      </c>
      <c r="E623" s="1" t="str">
        <f>VLOOKUP(B623,'NOVACART DATA'!$B$2:$M$1001,5,FALSE)</f>
        <v>Organic</v>
      </c>
      <c r="F623" s="1">
        <v>1</v>
      </c>
      <c r="G623" s="1">
        <v>17.78</v>
      </c>
      <c r="H623" s="1">
        <v>0</v>
      </c>
      <c r="I623" s="17">
        <f t="shared" si="9"/>
        <v>17.78</v>
      </c>
      <c r="J623" s="1">
        <f>VLOOKUP(B623,'NOVACART DATA'!$B$2:$N$1001,13,FALSE)</f>
        <v>0</v>
      </c>
    </row>
    <row r="624" spans="1:10">
      <c r="A624" s="2">
        <f>VLOOKUP(B624,CHOOSE({1,2},'NOVACART DATA'!$B$2:$B$1001,'NOVACART DATA'!$A$2:$A$1001),2,FALSE)</f>
        <v>45987</v>
      </c>
      <c r="B624" s="1">
        <v>1181</v>
      </c>
      <c r="C624" s="1">
        <f>VLOOKUP(B624,'NOVACART DATA'!$B$2:$C$1000,2,FALSE)</f>
        <v>84</v>
      </c>
      <c r="D624" s="1">
        <v>24</v>
      </c>
      <c r="E624" s="1" t="str">
        <f>VLOOKUP(B624,'NOVACART DATA'!$B$2:$M$1001,5,FALSE)</f>
        <v>Organic</v>
      </c>
      <c r="F624" s="1">
        <v>2</v>
      </c>
      <c r="G624" s="1">
        <v>43.42</v>
      </c>
      <c r="H624" s="1">
        <v>0</v>
      </c>
      <c r="I624" s="17">
        <f t="shared" si="9"/>
        <v>86.84</v>
      </c>
      <c r="J624" s="1">
        <f>VLOOKUP(B624,'NOVACART DATA'!$B$2:$N$1001,13,FALSE)</f>
        <v>0</v>
      </c>
    </row>
    <row r="625" spans="1:10">
      <c r="A625" s="2">
        <f>VLOOKUP(B625,CHOOSE({1,2},'NOVACART DATA'!$B$2:$B$1001,'NOVACART DATA'!$A$2:$A$1001),2,FALSE)</f>
        <v>46046</v>
      </c>
      <c r="B625" s="1">
        <v>1429</v>
      </c>
      <c r="C625" s="1">
        <f>VLOOKUP(B625,'NOVACART DATA'!$B$2:$C$1000,2,FALSE)</f>
        <v>84</v>
      </c>
      <c r="D625" s="1">
        <v>35</v>
      </c>
      <c r="E625" s="1" t="str">
        <f>VLOOKUP(B625,'NOVACART DATA'!$B$2:$M$1001,5,FALSE)</f>
        <v>Organic</v>
      </c>
      <c r="F625" s="1">
        <v>1</v>
      </c>
      <c r="G625" s="1">
        <v>11.3</v>
      </c>
      <c r="H625" s="1">
        <v>0</v>
      </c>
      <c r="I625" s="17">
        <f t="shared" si="9"/>
        <v>11.3</v>
      </c>
      <c r="J625" s="1">
        <f>VLOOKUP(B625,'NOVACART DATA'!$B$2:$N$1001,13,FALSE)</f>
        <v>0</v>
      </c>
    </row>
    <row r="626" spans="1:10">
      <c r="A626" s="2">
        <f>VLOOKUP(B626,CHOOSE({1,2},'NOVACART DATA'!$B$2:$B$1001,'NOVACART DATA'!$A$2:$A$1001),2,FALSE)</f>
        <v>46046</v>
      </c>
      <c r="B626" s="1">
        <v>1429</v>
      </c>
      <c r="C626" s="1">
        <f>VLOOKUP(B626,'NOVACART DATA'!$B$2:$C$1000,2,FALSE)</f>
        <v>84</v>
      </c>
      <c r="D626" s="1">
        <v>22</v>
      </c>
      <c r="E626" s="1" t="str">
        <f>VLOOKUP(B626,'NOVACART DATA'!$B$2:$M$1001,5,FALSE)</f>
        <v>Organic</v>
      </c>
      <c r="F626" s="1">
        <v>1</v>
      </c>
      <c r="G626" s="1">
        <v>29.98</v>
      </c>
      <c r="H626" s="1">
        <v>0</v>
      </c>
      <c r="I626" s="17">
        <f t="shared" si="9"/>
        <v>29.98</v>
      </c>
      <c r="J626" s="1">
        <f>VLOOKUP(B626,'NOVACART DATA'!$B$2:$N$1001,13,FALSE)</f>
        <v>0</v>
      </c>
    </row>
    <row r="627" spans="1:10">
      <c r="A627" s="2">
        <f>VLOOKUP(B627,CHOOSE({1,2},'NOVACART DATA'!$B$2:$B$1001,'NOVACART DATA'!$A$2:$A$1001),2,FALSE)</f>
        <v>45947</v>
      </c>
      <c r="B627" s="1">
        <v>1018</v>
      </c>
      <c r="C627" s="1">
        <f>VLOOKUP(B627,'NOVACART DATA'!$B$2:$C$1000,2,FALSE)</f>
        <v>85</v>
      </c>
      <c r="D627" s="1">
        <v>3</v>
      </c>
      <c r="E627" s="1" t="str">
        <f>VLOOKUP(B627,'NOVACART DATA'!$B$2:$M$1001,5,FALSE)</f>
        <v>Direct</v>
      </c>
      <c r="F627" s="1">
        <v>1</v>
      </c>
      <c r="G627" s="1">
        <v>25.47</v>
      </c>
      <c r="H627" s="1">
        <v>0</v>
      </c>
      <c r="I627" s="17">
        <f t="shared" si="9"/>
        <v>25.47</v>
      </c>
      <c r="J627" s="1">
        <f>VLOOKUP(B627,'NOVACART DATA'!$B$2:$N$1001,13,FALSE)</f>
        <v>0</v>
      </c>
    </row>
    <row r="628" spans="1:10">
      <c r="A628" s="2">
        <f>VLOOKUP(B628,CHOOSE({1,2},'NOVACART DATA'!$B$2:$B$1001,'NOVACART DATA'!$A$2:$A$1001),2,FALSE)</f>
        <v>45947</v>
      </c>
      <c r="B628" s="1">
        <v>1018</v>
      </c>
      <c r="C628" s="1">
        <f>VLOOKUP(B628,'NOVACART DATA'!$B$2:$C$1000,2,FALSE)</f>
        <v>85</v>
      </c>
      <c r="D628" s="1">
        <v>17</v>
      </c>
      <c r="E628" s="1" t="str">
        <f>VLOOKUP(B628,'NOVACART DATA'!$B$2:$M$1001,5,FALSE)</f>
        <v>Direct</v>
      </c>
      <c r="F628" s="1">
        <v>2</v>
      </c>
      <c r="G628" s="1">
        <v>6.61</v>
      </c>
      <c r="H628" s="1">
        <v>0</v>
      </c>
      <c r="I628" s="17">
        <f t="shared" si="9"/>
        <v>13.22</v>
      </c>
      <c r="J628" s="1">
        <f>VLOOKUP(B628,'NOVACART DATA'!$B$2:$N$1001,13,FALSE)</f>
        <v>0</v>
      </c>
    </row>
    <row r="629" spans="1:10">
      <c r="A629" s="2">
        <f>VLOOKUP(B629,CHOOSE({1,2},'NOVACART DATA'!$B$2:$B$1001,'NOVACART DATA'!$A$2:$A$1001),2,FALSE)</f>
        <v>45958</v>
      </c>
      <c r="B629" s="1">
        <v>1051</v>
      </c>
      <c r="C629" s="1">
        <f>VLOOKUP(B629,'NOVACART DATA'!$B$2:$C$1000,2,FALSE)</f>
        <v>85</v>
      </c>
      <c r="D629" s="1">
        <v>25</v>
      </c>
      <c r="E629" s="1" t="str">
        <f>VLOOKUP(B629,'NOVACART DATA'!$B$2:$M$1001,5,FALSE)</f>
        <v>Direct</v>
      </c>
      <c r="F629" s="1">
        <v>1</v>
      </c>
      <c r="G629" s="1">
        <v>17.78</v>
      </c>
      <c r="H629" s="1">
        <v>10</v>
      </c>
      <c r="I629" s="17">
        <f t="shared" si="9"/>
        <v>16.002000000000002</v>
      </c>
      <c r="J629" s="1">
        <f>VLOOKUP(B629,'NOVACART DATA'!$B$2:$N$1001,13,FALSE)</f>
        <v>0</v>
      </c>
    </row>
    <row r="630" spans="1:10">
      <c r="A630" s="2">
        <f>VLOOKUP(B630,CHOOSE({1,2},'NOVACART DATA'!$B$2:$B$1001,'NOVACART DATA'!$A$2:$A$1001),2,FALSE)</f>
        <v>46016</v>
      </c>
      <c r="B630" s="1">
        <v>1326</v>
      </c>
      <c r="C630" s="1">
        <f>VLOOKUP(B630,'NOVACART DATA'!$B$2:$C$1000,2,FALSE)</f>
        <v>85</v>
      </c>
      <c r="D630" s="1">
        <v>29</v>
      </c>
      <c r="E630" s="1" t="str">
        <f>VLOOKUP(B630,'NOVACART DATA'!$B$2:$M$1001,5,FALSE)</f>
        <v>Direct</v>
      </c>
      <c r="F630" s="1">
        <v>3</v>
      </c>
      <c r="G630" s="1">
        <v>45.67</v>
      </c>
      <c r="H630" s="1">
        <v>0</v>
      </c>
      <c r="I630" s="17">
        <f t="shared" si="9"/>
        <v>137.01</v>
      </c>
      <c r="J630" s="1">
        <f>VLOOKUP(B630,'NOVACART DATA'!$B$2:$N$1001,13,FALSE)</f>
        <v>0</v>
      </c>
    </row>
    <row r="631" spans="1:10">
      <c r="A631" s="2">
        <f>VLOOKUP(B631,CHOOSE({1,2},'NOVACART DATA'!$B$2:$B$1001,'NOVACART DATA'!$A$2:$A$1001),2,FALSE)</f>
        <v>46204</v>
      </c>
      <c r="B631" s="1">
        <v>1377</v>
      </c>
      <c r="C631" s="1">
        <f>VLOOKUP(B631,'NOVACART DATA'!$B$2:$C$1000,2,FALSE)</f>
        <v>85</v>
      </c>
      <c r="D631" s="1">
        <v>20</v>
      </c>
      <c r="E631" s="1" t="str">
        <f>VLOOKUP(B631,'NOVACART DATA'!$B$2:$M$1001,5,FALSE)</f>
        <v>Direct</v>
      </c>
      <c r="F631" s="1">
        <v>1</v>
      </c>
      <c r="G631" s="1">
        <v>32.76</v>
      </c>
      <c r="H631" s="1">
        <v>15</v>
      </c>
      <c r="I631" s="17">
        <f t="shared" si="9"/>
        <v>27.845999999999997</v>
      </c>
      <c r="J631" s="1">
        <f>VLOOKUP(B631,'NOVACART DATA'!$B$2:$N$1001,13,FALSE)</f>
        <v>0</v>
      </c>
    </row>
    <row r="632" spans="1:10">
      <c r="A632" s="2">
        <f>VLOOKUP(B632,CHOOSE({1,2},'NOVACART DATA'!$B$2:$B$1001,'NOVACART DATA'!$A$2:$A$1001),2,FALSE)</f>
        <v>45985</v>
      </c>
      <c r="B632" s="1">
        <v>1044</v>
      </c>
      <c r="C632" s="1">
        <f>VLOOKUP(B632,'NOVACART DATA'!$B$2:$C$1000,2,FALSE)</f>
        <v>5</v>
      </c>
      <c r="D632" s="1">
        <v>36</v>
      </c>
      <c r="E632" s="1" t="str">
        <f>VLOOKUP(B632,'NOVACART DATA'!$B$2:$M$1001,5,FALSE)</f>
        <v>Email</v>
      </c>
      <c r="F632" s="1">
        <v>1</v>
      </c>
      <c r="G632" s="1">
        <v>23.23</v>
      </c>
      <c r="H632" s="1">
        <v>20</v>
      </c>
      <c r="I632" s="17">
        <f t="shared" si="9"/>
        <v>18.584</v>
      </c>
      <c r="J632" s="1">
        <f>VLOOKUP(B632,'NOVACART DATA'!$B$2:$N$1001,13,FALSE)</f>
        <v>0</v>
      </c>
    </row>
    <row r="633" spans="1:10">
      <c r="A633" s="2">
        <f>VLOOKUP(B633,CHOOSE({1,2},'NOVACART DATA'!$B$2:$B$1001,'NOVACART DATA'!$A$2:$A$1001),2,FALSE)</f>
        <v>46204</v>
      </c>
      <c r="B633" s="1">
        <v>1377</v>
      </c>
      <c r="C633" s="1">
        <f>VLOOKUP(B633,'NOVACART DATA'!$B$2:$C$1000,2,FALSE)</f>
        <v>85</v>
      </c>
      <c r="D633" s="1">
        <v>26</v>
      </c>
      <c r="E633" s="1" t="str">
        <f>VLOOKUP(B633,'NOVACART DATA'!$B$2:$M$1001,5,FALSE)</f>
        <v>Direct</v>
      </c>
      <c r="F633" s="1">
        <v>1</v>
      </c>
      <c r="G633" s="1">
        <v>31.76</v>
      </c>
      <c r="H633" s="1">
        <v>15</v>
      </c>
      <c r="I633" s="17">
        <f t="shared" si="9"/>
        <v>26.996000000000002</v>
      </c>
      <c r="J633" s="1">
        <f>VLOOKUP(B633,'NOVACART DATA'!$B$2:$N$1001,13,FALSE)</f>
        <v>0</v>
      </c>
    </row>
    <row r="634" spans="1:10">
      <c r="A634" s="2">
        <f>VLOOKUP(B634,CHOOSE({1,2},'NOVACART DATA'!$B$2:$B$1001,'NOVACART DATA'!$A$2:$A$1001),2,FALSE)</f>
        <v>46204</v>
      </c>
      <c r="B634" s="1">
        <v>1377</v>
      </c>
      <c r="C634" s="1">
        <f>VLOOKUP(B634,'NOVACART DATA'!$B$2:$C$1000,2,FALSE)</f>
        <v>85</v>
      </c>
      <c r="D634" s="1">
        <v>4</v>
      </c>
      <c r="E634" s="1" t="str">
        <f>VLOOKUP(B634,'NOVACART DATA'!$B$2:$M$1001,5,FALSE)</f>
        <v>Direct</v>
      </c>
      <c r="F634" s="1">
        <v>1</v>
      </c>
      <c r="G634" s="1">
        <v>34.83</v>
      </c>
      <c r="H634" s="1">
        <v>10</v>
      </c>
      <c r="I634" s="17">
        <f t="shared" si="9"/>
        <v>31.346999999999998</v>
      </c>
      <c r="J634" s="1">
        <f>VLOOKUP(B634,'NOVACART DATA'!$B$2:$N$1001,13,FALSE)</f>
        <v>0</v>
      </c>
    </row>
    <row r="635" spans="1:10">
      <c r="A635" s="2">
        <f>VLOOKUP(B635,CHOOSE({1,2},'NOVACART DATA'!$B$2:$B$1001,'NOVACART DATA'!$A$2:$A$1001),2,FALSE)</f>
        <v>46002</v>
      </c>
      <c r="B635" s="1">
        <v>1117</v>
      </c>
      <c r="C635" s="1">
        <f>VLOOKUP(B635,'NOVACART DATA'!$B$2:$C$1000,2,FALSE)</f>
        <v>86</v>
      </c>
      <c r="D635" s="1">
        <v>20</v>
      </c>
      <c r="E635" s="1" t="str">
        <f>VLOOKUP(B635,'NOVACART DATA'!$B$2:$M$1001,5,FALSE)</f>
        <v>Social</v>
      </c>
      <c r="F635" s="1">
        <v>2</v>
      </c>
      <c r="G635" s="1">
        <v>32.76</v>
      </c>
      <c r="H635" s="1">
        <v>25</v>
      </c>
      <c r="I635" s="17">
        <f t="shared" si="9"/>
        <v>49.14</v>
      </c>
      <c r="J635" s="1">
        <f>VLOOKUP(B635,'NOVACART DATA'!$B$2:$N$1001,13,FALSE)</f>
        <v>0</v>
      </c>
    </row>
    <row r="636" spans="1:10">
      <c r="A636" s="2">
        <f>VLOOKUP(B636,CHOOSE({1,2},'NOVACART DATA'!$B$2:$B$1001,'NOVACART DATA'!$A$2:$A$1001),2,FALSE)</f>
        <v>46002</v>
      </c>
      <c r="B636" s="1">
        <v>1117</v>
      </c>
      <c r="C636" s="1">
        <f>VLOOKUP(B636,'NOVACART DATA'!$B$2:$C$1000,2,FALSE)</f>
        <v>86</v>
      </c>
      <c r="D636" s="1">
        <v>20</v>
      </c>
      <c r="E636" s="1" t="str">
        <f>VLOOKUP(B636,'NOVACART DATA'!$B$2:$M$1001,5,FALSE)</f>
        <v>Social</v>
      </c>
      <c r="F636" s="1">
        <v>3</v>
      </c>
      <c r="G636" s="1">
        <v>32.76</v>
      </c>
      <c r="H636" s="1">
        <v>10</v>
      </c>
      <c r="I636" s="17">
        <f t="shared" si="9"/>
        <v>88.451999999999998</v>
      </c>
      <c r="J636" s="1">
        <f>VLOOKUP(B636,'NOVACART DATA'!$B$2:$N$1001,13,FALSE)</f>
        <v>0</v>
      </c>
    </row>
    <row r="637" spans="1:10">
      <c r="A637" s="2">
        <f>VLOOKUP(B637,CHOOSE({1,2},'NOVACART DATA'!$B$2:$B$1001,'NOVACART DATA'!$A$2:$A$1001),2,FALSE)</f>
        <v>46002</v>
      </c>
      <c r="B637" s="1">
        <v>1117</v>
      </c>
      <c r="C637" s="1">
        <f>VLOOKUP(B637,'NOVACART DATA'!$B$2:$C$1000,2,FALSE)</f>
        <v>86</v>
      </c>
      <c r="D637" s="1">
        <v>9</v>
      </c>
      <c r="E637" s="1" t="str">
        <f>VLOOKUP(B637,'NOVACART DATA'!$B$2:$M$1001,5,FALSE)</f>
        <v>Social</v>
      </c>
      <c r="F637" s="1">
        <v>2</v>
      </c>
      <c r="G637" s="1">
        <v>20.69</v>
      </c>
      <c r="H637" s="1">
        <v>15</v>
      </c>
      <c r="I637" s="17">
        <f t="shared" si="9"/>
        <v>35.173000000000002</v>
      </c>
      <c r="J637" s="1">
        <f>VLOOKUP(B637,'NOVACART DATA'!$B$2:$N$1001,13,FALSE)</f>
        <v>0</v>
      </c>
    </row>
    <row r="638" spans="1:10">
      <c r="A638" s="2">
        <f>VLOOKUP(B638,CHOOSE({1,2},'NOVACART DATA'!$B$2:$B$1001,'NOVACART DATA'!$A$2:$A$1001),2,FALSE)</f>
        <v>46002</v>
      </c>
      <c r="B638" s="1">
        <v>1117</v>
      </c>
      <c r="C638" s="1">
        <f>VLOOKUP(B638,'NOVACART DATA'!$B$2:$C$1000,2,FALSE)</f>
        <v>86</v>
      </c>
      <c r="D638" s="1">
        <v>10</v>
      </c>
      <c r="E638" s="1" t="str">
        <f>VLOOKUP(B638,'NOVACART DATA'!$B$2:$M$1001,5,FALSE)</f>
        <v>Social</v>
      </c>
      <c r="F638" s="1">
        <v>1</v>
      </c>
      <c r="G638" s="1">
        <v>62.68</v>
      </c>
      <c r="H638" s="1">
        <v>10</v>
      </c>
      <c r="I638" s="17">
        <f t="shared" si="9"/>
        <v>56.411999999999999</v>
      </c>
      <c r="J638" s="1">
        <f>VLOOKUP(B638,'NOVACART DATA'!$B$2:$N$1001,13,FALSE)</f>
        <v>0</v>
      </c>
    </row>
    <row r="639" spans="1:10">
      <c r="A639" s="2">
        <f>VLOOKUP(B639,CHOOSE({1,2},'NOVACART DATA'!$B$2:$B$1001,'NOVACART DATA'!$A$2:$A$1001),2,FALSE)</f>
        <v>45989</v>
      </c>
      <c r="B639" s="1">
        <v>1193</v>
      </c>
      <c r="C639" s="1">
        <f>VLOOKUP(B639,'NOVACART DATA'!$B$2:$C$1000,2,FALSE)</f>
        <v>86</v>
      </c>
      <c r="D639" s="1">
        <v>37</v>
      </c>
      <c r="E639" s="1" t="str">
        <f>VLOOKUP(B639,'NOVACART DATA'!$B$2:$M$1001,5,FALSE)</f>
        <v>Social</v>
      </c>
      <c r="F639" s="1">
        <v>2</v>
      </c>
      <c r="G639" s="1">
        <v>52.67</v>
      </c>
      <c r="H639" s="1">
        <v>0</v>
      </c>
      <c r="I639" s="17">
        <f t="shared" si="9"/>
        <v>105.34</v>
      </c>
      <c r="J639" s="1">
        <f>VLOOKUP(B639,'NOVACART DATA'!$B$2:$N$1001,13,FALSE)</f>
        <v>0</v>
      </c>
    </row>
    <row r="640" spans="1:10">
      <c r="A640" s="2">
        <f>VLOOKUP(B640,CHOOSE({1,2},'NOVACART DATA'!$B$2:$B$1001,'NOVACART DATA'!$A$2:$A$1001),2,FALSE)</f>
        <v>45989</v>
      </c>
      <c r="B640" s="1">
        <v>1193</v>
      </c>
      <c r="C640" s="1">
        <f>VLOOKUP(B640,'NOVACART DATA'!$B$2:$C$1000,2,FALSE)</f>
        <v>86</v>
      </c>
      <c r="D640" s="1">
        <v>28</v>
      </c>
      <c r="E640" s="1" t="str">
        <f>VLOOKUP(B640,'NOVACART DATA'!$B$2:$M$1001,5,FALSE)</f>
        <v>Social</v>
      </c>
      <c r="F640" s="1">
        <v>1</v>
      </c>
      <c r="G640" s="1">
        <v>21.24</v>
      </c>
      <c r="H640" s="1">
        <v>0</v>
      </c>
      <c r="I640" s="17">
        <f t="shared" si="9"/>
        <v>21.24</v>
      </c>
      <c r="J640" s="1">
        <f>VLOOKUP(B640,'NOVACART DATA'!$B$2:$N$1001,13,FALSE)</f>
        <v>0</v>
      </c>
    </row>
    <row r="641" spans="1:10">
      <c r="A641" s="2">
        <f>VLOOKUP(B641,CHOOSE({1,2},'NOVACART DATA'!$B$2:$B$1001,'NOVACART DATA'!$A$2:$A$1001),2,FALSE)</f>
        <v>45989</v>
      </c>
      <c r="B641" s="1">
        <v>1193</v>
      </c>
      <c r="C641" s="1">
        <f>VLOOKUP(B641,'NOVACART DATA'!$B$2:$C$1000,2,FALSE)</f>
        <v>86</v>
      </c>
      <c r="D641" s="1">
        <v>39</v>
      </c>
      <c r="E641" s="1" t="str">
        <f>VLOOKUP(B641,'NOVACART DATA'!$B$2:$M$1001,5,FALSE)</f>
        <v>Social</v>
      </c>
      <c r="F641" s="1">
        <v>1</v>
      </c>
      <c r="G641" s="1">
        <v>39.979999999999997</v>
      </c>
      <c r="H641" s="1">
        <v>0</v>
      </c>
      <c r="I641" s="17">
        <f t="shared" si="9"/>
        <v>39.979999999999997</v>
      </c>
      <c r="J641" s="1">
        <f>VLOOKUP(B641,'NOVACART DATA'!$B$2:$N$1001,13,FALSE)</f>
        <v>0</v>
      </c>
    </row>
    <row r="642" spans="1:10">
      <c r="A642" s="2">
        <f>VLOOKUP(B642,CHOOSE({1,2},'NOVACART DATA'!$B$2:$B$1001,'NOVACART DATA'!$A$2:$A$1001),2,FALSE)</f>
        <v>45989</v>
      </c>
      <c r="B642" s="1">
        <v>1193</v>
      </c>
      <c r="C642" s="1">
        <f>VLOOKUP(B642,'NOVACART DATA'!$B$2:$C$1000,2,FALSE)</f>
        <v>86</v>
      </c>
      <c r="D642" s="1">
        <v>23</v>
      </c>
      <c r="E642" s="1" t="str">
        <f>VLOOKUP(B642,'NOVACART DATA'!$B$2:$M$1001,5,FALSE)</f>
        <v>Social</v>
      </c>
      <c r="F642" s="1">
        <v>1</v>
      </c>
      <c r="G642" s="1">
        <v>38.14</v>
      </c>
      <c r="H642" s="1">
        <v>0</v>
      </c>
      <c r="I642" s="17">
        <f t="shared" ref="I642:I705" si="10">F642*G642*(1-H642/100)</f>
        <v>38.14</v>
      </c>
      <c r="J642" s="1">
        <f>VLOOKUP(B642,'NOVACART DATA'!$B$2:$N$1001,13,FALSE)</f>
        <v>0</v>
      </c>
    </row>
    <row r="643" spans="1:10">
      <c r="A643" s="2">
        <f>VLOOKUP(B643,CHOOSE({1,2},'NOVACART DATA'!$B$2:$B$1001,'NOVACART DATA'!$A$2:$A$1001),2,FALSE)</f>
        <v>46016</v>
      </c>
      <c r="B643" s="1">
        <v>1240</v>
      </c>
      <c r="C643" s="1">
        <f>VLOOKUP(B643,'NOVACART DATA'!$B$2:$C$1000,2,FALSE)</f>
        <v>86</v>
      </c>
      <c r="D643" s="1">
        <v>30</v>
      </c>
      <c r="E643" s="1" t="str">
        <f>VLOOKUP(B643,'NOVACART DATA'!$B$2:$M$1001,5,FALSE)</f>
        <v>Organic</v>
      </c>
      <c r="F643" s="1">
        <v>1</v>
      </c>
      <c r="G643" s="1">
        <v>41.49</v>
      </c>
      <c r="H643" s="1">
        <v>0</v>
      </c>
      <c r="I643" s="17">
        <f t="shared" si="10"/>
        <v>41.49</v>
      </c>
      <c r="J643" s="1">
        <f>VLOOKUP(B643,'NOVACART DATA'!$B$2:$N$1001,13,FALSE)</f>
        <v>0</v>
      </c>
    </row>
    <row r="644" spans="1:10">
      <c r="A644" s="2">
        <f>VLOOKUP(B644,CHOOSE({1,2},'NOVACART DATA'!$B$2:$B$1001,'NOVACART DATA'!$A$2:$A$1001),2,FALSE)</f>
        <v>46016</v>
      </c>
      <c r="B644" s="1">
        <v>1240</v>
      </c>
      <c r="C644" s="1">
        <f>VLOOKUP(B644,'NOVACART DATA'!$B$2:$C$1000,2,FALSE)</f>
        <v>86</v>
      </c>
      <c r="D644" s="1">
        <v>12</v>
      </c>
      <c r="E644" s="1" t="str">
        <f>VLOOKUP(B644,'NOVACART DATA'!$B$2:$M$1001,5,FALSE)</f>
        <v>Organic</v>
      </c>
      <c r="F644" s="1">
        <v>2</v>
      </c>
      <c r="G644" s="1">
        <v>8.4499999999999993</v>
      </c>
      <c r="H644" s="1">
        <v>0</v>
      </c>
      <c r="I644" s="17">
        <f t="shared" si="10"/>
        <v>16.899999999999999</v>
      </c>
      <c r="J644" s="1">
        <f>VLOOKUP(B644,'NOVACART DATA'!$B$2:$N$1001,13,FALSE)</f>
        <v>0</v>
      </c>
    </row>
    <row r="645" spans="1:10">
      <c r="A645" s="2">
        <f>VLOOKUP(B645,CHOOSE({1,2},'NOVACART DATA'!$B$2:$B$1001,'NOVACART DATA'!$A$2:$A$1001),2,FALSE)</f>
        <v>45985</v>
      </c>
      <c r="B645" s="1">
        <v>1044</v>
      </c>
      <c r="C645" s="1">
        <f>VLOOKUP(B645,'NOVACART DATA'!$B$2:$C$1000,2,FALSE)</f>
        <v>5</v>
      </c>
      <c r="D645" s="1">
        <v>3</v>
      </c>
      <c r="E645" s="1" t="str">
        <f>VLOOKUP(B645,'NOVACART DATA'!$B$2:$M$1001,5,FALSE)</f>
        <v>Email</v>
      </c>
      <c r="F645" s="1">
        <v>1</v>
      </c>
      <c r="G645" s="1">
        <v>25.47</v>
      </c>
      <c r="H645" s="1">
        <v>5.5</v>
      </c>
      <c r="I645" s="17">
        <f t="shared" si="10"/>
        <v>24.069149999999997</v>
      </c>
      <c r="J645" s="1">
        <f>VLOOKUP(B645,'NOVACART DATA'!$B$2:$N$1001,13,FALSE)</f>
        <v>0</v>
      </c>
    </row>
    <row r="646" spans="1:10">
      <c r="A646" s="2">
        <f>VLOOKUP(B646,CHOOSE({1,2},'NOVACART DATA'!$B$2:$B$1001,'NOVACART DATA'!$A$2:$A$1001),2,FALSE)</f>
        <v>46009</v>
      </c>
      <c r="B646" s="1">
        <v>1294</v>
      </c>
      <c r="C646" s="1">
        <f>VLOOKUP(B646,'NOVACART DATA'!$B$2:$C$1000,2,FALSE)</f>
        <v>86</v>
      </c>
      <c r="D646" s="1">
        <v>35</v>
      </c>
      <c r="E646" s="1" t="str">
        <f>VLOOKUP(B646,'NOVACART DATA'!$B$2:$M$1001,5,FALSE)</f>
        <v>Social</v>
      </c>
      <c r="F646" s="1">
        <v>1</v>
      </c>
      <c r="G646" s="1">
        <v>11.3</v>
      </c>
      <c r="H646" s="1">
        <v>0</v>
      </c>
      <c r="I646" s="17">
        <f t="shared" si="10"/>
        <v>11.3</v>
      </c>
      <c r="J646" s="1">
        <f>VLOOKUP(B646,'NOVACART DATA'!$B$2:$N$1001,13,FALSE)</f>
        <v>0</v>
      </c>
    </row>
    <row r="647" spans="1:10">
      <c r="A647" s="2">
        <f>VLOOKUP(B647,CHOOSE({1,2},'NOVACART DATA'!$B$2:$B$1001,'NOVACART DATA'!$A$2:$A$1001),2,FALSE)</f>
        <v>46009</v>
      </c>
      <c r="B647" s="1">
        <v>1294</v>
      </c>
      <c r="C647" s="1">
        <f>VLOOKUP(B647,'NOVACART DATA'!$B$2:$C$1000,2,FALSE)</f>
        <v>86</v>
      </c>
      <c r="D647" s="1">
        <v>8</v>
      </c>
      <c r="E647" s="1" t="str">
        <f>VLOOKUP(B647,'NOVACART DATA'!$B$2:$M$1001,5,FALSE)</f>
        <v>Social</v>
      </c>
      <c r="F647" s="1">
        <v>2</v>
      </c>
      <c r="G647" s="1">
        <v>16.72</v>
      </c>
      <c r="H647" s="1">
        <v>0</v>
      </c>
      <c r="I647" s="17">
        <f t="shared" si="10"/>
        <v>33.44</v>
      </c>
      <c r="J647" s="1">
        <f>VLOOKUP(B647,'NOVACART DATA'!$B$2:$N$1001,13,FALSE)</f>
        <v>0</v>
      </c>
    </row>
    <row r="648" spans="1:10">
      <c r="A648" s="2">
        <f>VLOOKUP(B648,CHOOSE({1,2},'NOVACART DATA'!$B$2:$B$1001,'NOVACART DATA'!$A$2:$A$1001),2,FALSE)</f>
        <v>46072</v>
      </c>
      <c r="B648" s="1">
        <v>1502</v>
      </c>
      <c r="C648" s="1">
        <f>VLOOKUP(B648,'NOVACART DATA'!$B$2:$C$1000,2,FALSE)</f>
        <v>87</v>
      </c>
      <c r="D648" s="1">
        <v>21</v>
      </c>
      <c r="E648" s="1" t="str">
        <f>VLOOKUP(B648,'NOVACART DATA'!$B$2:$M$1001,5,FALSE)</f>
        <v>Referral</v>
      </c>
      <c r="F648" s="1">
        <v>1</v>
      </c>
      <c r="G648" s="1">
        <v>49.37</v>
      </c>
      <c r="H648" s="1">
        <v>0</v>
      </c>
      <c r="I648" s="17">
        <f t="shared" si="10"/>
        <v>49.37</v>
      </c>
      <c r="J648" s="1">
        <f>VLOOKUP(B648,'NOVACART DATA'!$B$2:$N$1001,13,FALSE)</f>
        <v>0</v>
      </c>
    </row>
    <row r="649" spans="1:10">
      <c r="A649" s="2">
        <f>VLOOKUP(B649,CHOOSE({1,2},'NOVACART DATA'!$B$2:$B$1001,'NOVACART DATA'!$A$2:$A$1001),2,FALSE)</f>
        <v>45961</v>
      </c>
      <c r="B649" s="1">
        <v>1061</v>
      </c>
      <c r="C649" s="1">
        <f>VLOOKUP(B649,'NOVACART DATA'!$B$2:$C$1000,2,FALSE)</f>
        <v>88</v>
      </c>
      <c r="D649" s="1">
        <v>26</v>
      </c>
      <c r="E649" s="1" t="str">
        <f>VLOOKUP(B649,'NOVACART DATA'!$B$2:$M$1001,5,FALSE)</f>
        <v>Email</v>
      </c>
      <c r="F649" s="1">
        <v>1</v>
      </c>
      <c r="G649" s="1">
        <v>31.76</v>
      </c>
      <c r="H649" s="1">
        <v>0</v>
      </c>
      <c r="I649" s="17">
        <f t="shared" si="10"/>
        <v>31.76</v>
      </c>
      <c r="J649" s="1">
        <f>VLOOKUP(B649,'NOVACART DATA'!$B$2:$N$1001,13,FALSE)</f>
        <v>0</v>
      </c>
    </row>
    <row r="650" spans="1:10">
      <c r="A650" s="2">
        <f>VLOOKUP(B650,CHOOSE({1,2},'NOVACART DATA'!$B$2:$B$1001,'NOVACART DATA'!$A$2:$A$1001),2,FALSE)</f>
        <v>45988</v>
      </c>
      <c r="B650" s="1">
        <v>1189</v>
      </c>
      <c r="C650" s="1">
        <f>VLOOKUP(B650,'NOVACART DATA'!$B$2:$C$1000,2,FALSE)</f>
        <v>88</v>
      </c>
      <c r="D650" s="1">
        <v>25</v>
      </c>
      <c r="E650" s="1" t="str">
        <f>VLOOKUP(B650,'NOVACART DATA'!$B$2:$M$1001,5,FALSE)</f>
        <v>Email</v>
      </c>
      <c r="F650" s="1">
        <v>2</v>
      </c>
      <c r="G650" s="1">
        <v>17.78</v>
      </c>
      <c r="H650" s="1">
        <v>0</v>
      </c>
      <c r="I650" s="17">
        <f t="shared" si="10"/>
        <v>35.56</v>
      </c>
      <c r="J650" s="1">
        <f>VLOOKUP(B650,'NOVACART DATA'!$B$2:$N$1001,13,FALSE)</f>
        <v>0</v>
      </c>
    </row>
    <row r="651" spans="1:10">
      <c r="A651" s="2">
        <f>VLOOKUP(B651,CHOOSE({1,2},'NOVACART DATA'!$B$2:$B$1001,'NOVACART DATA'!$A$2:$A$1001),2,FALSE)</f>
        <v>45988</v>
      </c>
      <c r="B651" s="1">
        <v>1189</v>
      </c>
      <c r="C651" s="1">
        <f>VLOOKUP(B651,'NOVACART DATA'!$B$2:$C$1000,2,FALSE)</f>
        <v>88</v>
      </c>
      <c r="D651" s="1">
        <v>23</v>
      </c>
      <c r="E651" s="1" t="str">
        <f>VLOOKUP(B651,'NOVACART DATA'!$B$2:$M$1001,5,FALSE)</f>
        <v>Email</v>
      </c>
      <c r="F651" s="1">
        <v>1</v>
      </c>
      <c r="G651" s="1">
        <v>38.14</v>
      </c>
      <c r="H651" s="1">
        <v>0</v>
      </c>
      <c r="I651" s="17">
        <f t="shared" si="10"/>
        <v>38.14</v>
      </c>
      <c r="J651" s="1">
        <f>VLOOKUP(B651,'NOVACART DATA'!$B$2:$N$1001,13,FALSE)</f>
        <v>0</v>
      </c>
    </row>
    <row r="652" spans="1:10">
      <c r="A652" s="2">
        <f>VLOOKUP(B652,CHOOSE({1,2},'NOVACART DATA'!$B$2:$B$1001,'NOVACART DATA'!$A$2:$A$1001),2,FALSE)</f>
        <v>45988</v>
      </c>
      <c r="B652" s="1">
        <v>1189</v>
      </c>
      <c r="C652" s="1">
        <f>VLOOKUP(B652,'NOVACART DATA'!$B$2:$C$1000,2,FALSE)</f>
        <v>88</v>
      </c>
      <c r="D652" s="1">
        <v>17</v>
      </c>
      <c r="E652" s="1" t="str">
        <f>VLOOKUP(B652,'NOVACART DATA'!$B$2:$M$1001,5,FALSE)</f>
        <v>Email</v>
      </c>
      <c r="F652" s="1">
        <v>1</v>
      </c>
      <c r="G652" s="1">
        <v>6.61</v>
      </c>
      <c r="H652" s="1">
        <v>0</v>
      </c>
      <c r="I652" s="17">
        <f t="shared" si="10"/>
        <v>6.61</v>
      </c>
      <c r="J652" s="1">
        <f>VLOOKUP(B652,'NOVACART DATA'!$B$2:$N$1001,13,FALSE)</f>
        <v>0</v>
      </c>
    </row>
    <row r="653" spans="1:10">
      <c r="A653" s="2">
        <f>VLOOKUP(B653,CHOOSE({1,2},'NOVACART DATA'!$B$2:$B$1001,'NOVACART DATA'!$A$2:$A$1001),2,FALSE)</f>
        <v>45700</v>
      </c>
      <c r="B653" s="1">
        <v>1214</v>
      </c>
      <c r="C653" s="1">
        <f>VLOOKUP(B653,'NOVACART DATA'!$B$2:$C$1000,2,FALSE)</f>
        <v>88</v>
      </c>
      <c r="D653" s="1">
        <v>34</v>
      </c>
      <c r="E653" s="1" t="str">
        <f>VLOOKUP(B653,'NOVACART DATA'!$B$2:$M$1001,5,FALSE)</f>
        <v>Email</v>
      </c>
      <c r="F653" s="1">
        <v>2</v>
      </c>
      <c r="G653" s="1">
        <v>58.26</v>
      </c>
      <c r="H653" s="1">
        <v>0</v>
      </c>
      <c r="I653" s="17">
        <f t="shared" si="10"/>
        <v>116.52</v>
      </c>
      <c r="J653" s="1">
        <f>VLOOKUP(B653,'NOVACART DATA'!$B$2:$N$1001,13,FALSE)</f>
        <v>0</v>
      </c>
    </row>
    <row r="654" spans="1:10">
      <c r="A654" s="2">
        <f>VLOOKUP(B654,CHOOSE({1,2},'NOVACART DATA'!$B$2:$B$1001,'NOVACART DATA'!$A$2:$A$1001),2,FALSE)</f>
        <v>45700</v>
      </c>
      <c r="B654" s="1">
        <v>1214</v>
      </c>
      <c r="C654" s="1">
        <f>VLOOKUP(B654,'NOVACART DATA'!$B$2:$C$1000,2,FALSE)</f>
        <v>88</v>
      </c>
      <c r="D654" s="1">
        <v>13</v>
      </c>
      <c r="E654" s="1" t="str">
        <f>VLOOKUP(B654,'NOVACART DATA'!$B$2:$M$1001,5,FALSE)</f>
        <v>Email</v>
      </c>
      <c r="F654" s="1">
        <v>1</v>
      </c>
      <c r="G654" s="1">
        <v>54.9</v>
      </c>
      <c r="H654" s="1">
        <v>0</v>
      </c>
      <c r="I654" s="17">
        <f t="shared" si="10"/>
        <v>54.9</v>
      </c>
      <c r="J654" s="1">
        <f>VLOOKUP(B654,'NOVACART DATA'!$B$2:$N$1001,13,FALSE)</f>
        <v>0</v>
      </c>
    </row>
    <row r="655" spans="1:10">
      <c r="A655" s="2">
        <f>VLOOKUP(B655,CHOOSE({1,2},'NOVACART DATA'!$B$2:$B$1001,'NOVACART DATA'!$A$2:$A$1001),2,FALSE)</f>
        <v>46013</v>
      </c>
      <c r="B655" s="1">
        <v>1310</v>
      </c>
      <c r="C655" s="1">
        <f>VLOOKUP(B655,'NOVACART DATA'!$B$2:$C$1000,2,FALSE)</f>
        <v>88</v>
      </c>
      <c r="D655" s="1">
        <v>30</v>
      </c>
      <c r="E655" s="1" t="str">
        <f>VLOOKUP(B655,'NOVACART DATA'!$B$2:$M$1001,5,FALSE)</f>
        <v>Email</v>
      </c>
      <c r="F655" s="1">
        <v>1</v>
      </c>
      <c r="G655" s="1">
        <v>41.49</v>
      </c>
      <c r="H655" s="1">
        <v>25</v>
      </c>
      <c r="I655" s="17">
        <f t="shared" si="10"/>
        <v>31.1175</v>
      </c>
      <c r="J655" s="1">
        <f>VLOOKUP(B655,'NOVACART DATA'!$B$2:$N$1001,13,FALSE)</f>
        <v>0</v>
      </c>
    </row>
    <row r="656" spans="1:10">
      <c r="A656" s="2">
        <f>VLOOKUP(B656,CHOOSE({1,2},'NOVACART DATA'!$B$2:$B$1001,'NOVACART DATA'!$A$2:$A$1001),2,FALSE)</f>
        <v>45911</v>
      </c>
      <c r="B656" s="1">
        <v>1099</v>
      </c>
      <c r="C656" s="1">
        <f>VLOOKUP(B656,'NOVACART DATA'!$B$2:$C$1000,2,FALSE)</f>
        <v>89</v>
      </c>
      <c r="D656" s="1">
        <v>6</v>
      </c>
      <c r="E656" s="1" t="str">
        <f>VLOOKUP(B656,'NOVACART DATA'!$B$2:$M$1001,5,FALSE)</f>
        <v>Social</v>
      </c>
      <c r="F656" s="1">
        <v>1</v>
      </c>
      <c r="G656" s="1">
        <v>70.47</v>
      </c>
      <c r="H656" s="1">
        <v>25</v>
      </c>
      <c r="I656" s="17">
        <f t="shared" si="10"/>
        <v>52.852499999999999</v>
      </c>
      <c r="J656" s="1">
        <f>VLOOKUP(B656,'NOVACART DATA'!$B$2:$N$1001,13,FALSE)</f>
        <v>0</v>
      </c>
    </row>
    <row r="657" spans="1:10">
      <c r="A657" s="2">
        <f>VLOOKUP(B657,CHOOSE({1,2},'NOVACART DATA'!$B$2:$B$1001,'NOVACART DATA'!$A$2:$A$1001),2,FALSE)</f>
        <v>45911</v>
      </c>
      <c r="B657" s="1">
        <v>1099</v>
      </c>
      <c r="C657" s="1">
        <f>VLOOKUP(B657,'NOVACART DATA'!$B$2:$C$1000,2,FALSE)</f>
        <v>89</v>
      </c>
      <c r="D657" s="1">
        <v>40</v>
      </c>
      <c r="E657" s="1" t="str">
        <f>VLOOKUP(B657,'NOVACART DATA'!$B$2:$M$1001,5,FALSE)</f>
        <v>Social</v>
      </c>
      <c r="F657" s="1">
        <v>3</v>
      </c>
      <c r="G657" s="1">
        <v>47.25</v>
      </c>
      <c r="H657" s="1">
        <v>15</v>
      </c>
      <c r="I657" s="17">
        <f t="shared" si="10"/>
        <v>120.4875</v>
      </c>
      <c r="J657" s="1">
        <f>VLOOKUP(B657,'NOVACART DATA'!$B$2:$N$1001,13,FALSE)</f>
        <v>0</v>
      </c>
    </row>
    <row r="658" spans="1:10">
      <c r="A658" s="2">
        <f>VLOOKUP(B658,CHOOSE({1,2},'NOVACART DATA'!$B$2:$B$1001,'NOVACART DATA'!$A$2:$A$1001),2,FALSE)</f>
        <v>45982</v>
      </c>
      <c r="B658" s="1">
        <v>1159</v>
      </c>
      <c r="C658" s="1">
        <f>VLOOKUP(B658,'NOVACART DATA'!$B$2:$C$1000,2,FALSE)</f>
        <v>89</v>
      </c>
      <c r="D658" s="1">
        <v>38</v>
      </c>
      <c r="E658" s="1" t="str">
        <f>VLOOKUP(B658,'NOVACART DATA'!$B$2:$M$1001,5,FALSE)</f>
        <v>Organic</v>
      </c>
      <c r="F658" s="1">
        <v>1</v>
      </c>
      <c r="G658" s="1">
        <v>25.14</v>
      </c>
      <c r="H658" s="1">
        <v>0</v>
      </c>
      <c r="I658" s="17">
        <f t="shared" si="10"/>
        <v>25.14</v>
      </c>
      <c r="J658" s="1">
        <f>VLOOKUP(B658,'NOVACART DATA'!$B$2:$N$1001,13,FALSE)</f>
        <v>0</v>
      </c>
    </row>
    <row r="659" spans="1:10">
      <c r="A659" s="2">
        <f>VLOOKUP(B659,CHOOSE({1,2},'NOVACART DATA'!$B$2:$B$1001,'NOVACART DATA'!$A$2:$A$1001),2,FALSE)</f>
        <v>45982</v>
      </c>
      <c r="B659" s="1">
        <v>1159</v>
      </c>
      <c r="C659" s="1">
        <f>VLOOKUP(B659,'NOVACART DATA'!$B$2:$C$1000,2,FALSE)</f>
        <v>89</v>
      </c>
      <c r="D659" s="1">
        <v>16</v>
      </c>
      <c r="E659" s="1" t="str">
        <f>VLOOKUP(B659,'NOVACART DATA'!$B$2:$M$1001,5,FALSE)</f>
        <v>Organic</v>
      </c>
      <c r="F659" s="1">
        <v>2</v>
      </c>
      <c r="G659" s="1">
        <v>11.81</v>
      </c>
      <c r="H659" s="1">
        <v>0</v>
      </c>
      <c r="I659" s="17">
        <f t="shared" si="10"/>
        <v>23.62</v>
      </c>
      <c r="J659" s="1">
        <f>VLOOKUP(B659,'NOVACART DATA'!$B$2:$N$1001,13,FALSE)</f>
        <v>0</v>
      </c>
    </row>
    <row r="660" spans="1:10">
      <c r="A660" s="2">
        <f>VLOOKUP(B660,CHOOSE({1,2},'NOVACART DATA'!$B$2:$B$1001,'NOVACART DATA'!$A$2:$A$1001),2,FALSE)</f>
        <v>46004</v>
      </c>
      <c r="B660" s="1">
        <v>1271</v>
      </c>
      <c r="C660" s="1">
        <f>VLOOKUP(B660,'NOVACART DATA'!$B$2:$C$1000,2,FALSE)</f>
        <v>89</v>
      </c>
      <c r="D660" s="1">
        <v>7</v>
      </c>
      <c r="E660" s="1" t="str">
        <f>VLOOKUP(B660,'NOVACART DATA'!$B$2:$M$1001,5,FALSE)</f>
        <v>Social</v>
      </c>
      <c r="F660" s="1">
        <v>1</v>
      </c>
      <c r="G660" s="1">
        <v>79.39</v>
      </c>
      <c r="H660" s="1">
        <v>0</v>
      </c>
      <c r="I660" s="17">
        <f t="shared" si="10"/>
        <v>79.39</v>
      </c>
      <c r="J660" s="1">
        <f>VLOOKUP(B660,'NOVACART DATA'!$B$2:$N$1001,13,FALSE)</f>
        <v>0</v>
      </c>
    </row>
    <row r="661" spans="1:10">
      <c r="A661" s="2">
        <f>VLOOKUP(B661,CHOOSE({1,2},'NOVACART DATA'!$B$2:$B$1001,'NOVACART DATA'!$A$2:$A$1001),2,FALSE)</f>
        <v>46004</v>
      </c>
      <c r="B661" s="1">
        <v>1271</v>
      </c>
      <c r="C661" s="1">
        <f>VLOOKUP(B661,'NOVACART DATA'!$B$2:$C$1000,2,FALSE)</f>
        <v>89</v>
      </c>
      <c r="D661" s="1">
        <v>4</v>
      </c>
      <c r="E661" s="1" t="str">
        <f>VLOOKUP(B661,'NOVACART DATA'!$B$2:$M$1001,5,FALSE)</f>
        <v>Social</v>
      </c>
      <c r="F661" s="1">
        <v>2</v>
      </c>
      <c r="G661" s="1">
        <v>34.83</v>
      </c>
      <c r="H661" s="1">
        <v>0</v>
      </c>
      <c r="I661" s="17">
        <f t="shared" si="10"/>
        <v>69.66</v>
      </c>
      <c r="J661" s="1">
        <f>VLOOKUP(B661,'NOVACART DATA'!$B$2:$N$1001,13,FALSE)</f>
        <v>0</v>
      </c>
    </row>
    <row r="662" spans="1:10">
      <c r="A662" s="2">
        <f>VLOOKUP(B662,CHOOSE({1,2},'NOVACART DATA'!$B$2:$B$1001,'NOVACART DATA'!$A$2:$A$1001),2,FALSE)</f>
        <v>46017</v>
      </c>
      <c r="B662" s="1">
        <v>1332</v>
      </c>
      <c r="C662" s="1">
        <f>VLOOKUP(B662,'NOVACART DATA'!$B$2:$C$1000,2,FALSE)</f>
        <v>89</v>
      </c>
      <c r="D662" s="1">
        <v>32</v>
      </c>
      <c r="E662" s="1" t="str">
        <f>VLOOKUP(B662,'NOVACART DATA'!$B$2:$M$1001,5,FALSE)</f>
        <v>Social</v>
      </c>
      <c r="F662" s="1">
        <v>1</v>
      </c>
      <c r="G662" s="1">
        <v>61.06</v>
      </c>
      <c r="H662" s="1">
        <v>0</v>
      </c>
      <c r="I662" s="17">
        <f t="shared" si="10"/>
        <v>61.06</v>
      </c>
      <c r="J662" s="1">
        <f>VLOOKUP(B662,'NOVACART DATA'!$B$2:$N$1001,13,FALSE)</f>
        <v>0</v>
      </c>
    </row>
    <row r="663" spans="1:10">
      <c r="A663" s="2">
        <f>VLOOKUP(B663,CHOOSE({1,2},'NOVACART DATA'!$B$2:$B$1001,'NOVACART DATA'!$A$2:$A$1001),2,FALSE)</f>
        <v>46017</v>
      </c>
      <c r="B663" s="1">
        <v>1332</v>
      </c>
      <c r="C663" s="1">
        <f>VLOOKUP(B663,'NOVACART DATA'!$B$2:$C$1000,2,FALSE)</f>
        <v>89</v>
      </c>
      <c r="D663" s="1">
        <v>13</v>
      </c>
      <c r="E663" s="1" t="str">
        <f>VLOOKUP(B663,'NOVACART DATA'!$B$2:$M$1001,5,FALSE)</f>
        <v>Social</v>
      </c>
      <c r="F663" s="1">
        <v>1</v>
      </c>
      <c r="G663" s="1">
        <v>54.9</v>
      </c>
      <c r="H663" s="1">
        <v>5.5</v>
      </c>
      <c r="I663" s="17">
        <f t="shared" si="10"/>
        <v>51.880499999999998</v>
      </c>
      <c r="J663" s="1">
        <f>VLOOKUP(B663,'NOVACART DATA'!$B$2:$N$1001,13,FALSE)</f>
        <v>0</v>
      </c>
    </row>
    <row r="664" spans="1:10">
      <c r="A664" s="2">
        <f>VLOOKUP(B664,CHOOSE({1,2},'NOVACART DATA'!$B$2:$B$1001,'NOVACART DATA'!$A$2:$A$1001),2,FALSE)</f>
        <v>46017</v>
      </c>
      <c r="B664" s="1">
        <v>1332</v>
      </c>
      <c r="C664" s="1">
        <f>VLOOKUP(B664,'NOVACART DATA'!$B$2:$C$1000,2,FALSE)</f>
        <v>89</v>
      </c>
      <c r="D664" s="1">
        <v>7</v>
      </c>
      <c r="E664" s="1" t="str">
        <f>VLOOKUP(B664,'NOVACART DATA'!$B$2:$M$1001,5,FALSE)</f>
        <v>Social</v>
      </c>
      <c r="F664" s="1">
        <v>1</v>
      </c>
      <c r="G664" s="1">
        <v>79.39</v>
      </c>
      <c r="H664" s="1">
        <v>0</v>
      </c>
      <c r="I664" s="17">
        <f t="shared" si="10"/>
        <v>79.39</v>
      </c>
      <c r="J664" s="1">
        <f>VLOOKUP(B664,'NOVACART DATA'!$B$2:$N$1001,13,FALSE)</f>
        <v>0</v>
      </c>
    </row>
    <row r="665" spans="1:10">
      <c r="A665" s="2">
        <f>VLOOKUP(B665,CHOOSE({1,2},'NOVACART DATA'!$B$2:$B$1001,'NOVACART DATA'!$A$2:$A$1001),2,FALSE)</f>
        <v>46113</v>
      </c>
      <c r="B665" s="1">
        <v>1370</v>
      </c>
      <c r="C665" s="1">
        <f>VLOOKUP(B665,'NOVACART DATA'!$B$2:$C$1000,2,FALSE)</f>
        <v>89</v>
      </c>
      <c r="D665" s="1">
        <v>9</v>
      </c>
      <c r="E665" s="1" t="str">
        <f>VLOOKUP(B665,'NOVACART DATA'!$B$2:$M$1001,5,FALSE)</f>
        <v>Social</v>
      </c>
      <c r="F665" s="1">
        <v>1</v>
      </c>
      <c r="G665" s="1">
        <v>20.69</v>
      </c>
      <c r="H665" s="1">
        <v>0</v>
      </c>
      <c r="I665" s="17">
        <f t="shared" si="10"/>
        <v>20.69</v>
      </c>
      <c r="J665" s="1">
        <f>VLOOKUP(B665,'NOVACART DATA'!$B$2:$N$1001,13,FALSE)</f>
        <v>0</v>
      </c>
    </row>
    <row r="666" spans="1:10">
      <c r="A666" s="2">
        <f>VLOOKUP(B666,CHOOSE({1,2},'NOVACART DATA'!$B$2:$B$1001,'NOVACART DATA'!$A$2:$A$1001),2,FALSE)</f>
        <v>46113</v>
      </c>
      <c r="B666" s="1">
        <v>1370</v>
      </c>
      <c r="C666" s="1">
        <f>VLOOKUP(B666,'NOVACART DATA'!$B$2:$C$1000,2,FALSE)</f>
        <v>89</v>
      </c>
      <c r="D666" s="1">
        <v>13</v>
      </c>
      <c r="E666" s="1" t="str">
        <f>VLOOKUP(B666,'NOVACART DATA'!$B$2:$M$1001,5,FALSE)</f>
        <v>Social</v>
      </c>
      <c r="F666" s="1">
        <v>1</v>
      </c>
      <c r="G666" s="1">
        <v>54.9</v>
      </c>
      <c r="H666" s="1">
        <v>5.5</v>
      </c>
      <c r="I666" s="17">
        <f t="shared" si="10"/>
        <v>51.880499999999998</v>
      </c>
      <c r="J666" s="1">
        <f>VLOOKUP(B666,'NOVACART DATA'!$B$2:$N$1001,13,FALSE)</f>
        <v>0</v>
      </c>
    </row>
    <row r="667" spans="1:10">
      <c r="A667" s="2">
        <f>VLOOKUP(B667,CHOOSE({1,2},'NOVACART DATA'!$B$2:$B$1001,'NOVACART DATA'!$A$2:$A$1001),2,FALSE)</f>
        <v>46327</v>
      </c>
      <c r="B667" s="1">
        <v>1392</v>
      </c>
      <c r="C667" s="1">
        <f>VLOOKUP(B667,'NOVACART DATA'!$B$2:$C$1000,2,FALSE)</f>
        <v>89</v>
      </c>
      <c r="D667" s="1">
        <v>11</v>
      </c>
      <c r="E667" s="1" t="str">
        <f>VLOOKUP(B667,'NOVACART DATA'!$B$2:$M$1001,5,FALSE)</f>
        <v>Social</v>
      </c>
      <c r="F667" s="1">
        <v>1</v>
      </c>
      <c r="G667" s="1">
        <v>58.35</v>
      </c>
      <c r="H667" s="1">
        <v>0</v>
      </c>
      <c r="I667" s="17">
        <f t="shared" si="10"/>
        <v>58.35</v>
      </c>
      <c r="J667" s="1">
        <f>VLOOKUP(B667,'NOVACART DATA'!$B$2:$N$1001,13,FALSE)</f>
        <v>0</v>
      </c>
    </row>
    <row r="668" spans="1:10">
      <c r="A668" s="2">
        <f>VLOOKUP(B668,CHOOSE({1,2},'NOVACART DATA'!$B$2:$B$1001,'NOVACART DATA'!$A$2:$A$1001),2,FALSE)</f>
        <v>45759</v>
      </c>
      <c r="B668" s="1">
        <v>1223</v>
      </c>
      <c r="C668" s="1">
        <f>VLOOKUP(B668,'NOVACART DATA'!$B$2:$C$1000,2,FALSE)</f>
        <v>90</v>
      </c>
      <c r="D668" s="1">
        <v>31</v>
      </c>
      <c r="E668" s="1" t="str">
        <f>VLOOKUP(B668,'NOVACART DATA'!$B$2:$M$1001,5,FALSE)</f>
        <v>Organic</v>
      </c>
      <c r="F668" s="1">
        <v>2</v>
      </c>
      <c r="G668" s="1">
        <v>38.869999999999997</v>
      </c>
      <c r="H668" s="1">
        <v>20</v>
      </c>
      <c r="I668" s="17">
        <f t="shared" si="10"/>
        <v>62.192</v>
      </c>
      <c r="J668" s="1">
        <f>VLOOKUP(B668,'NOVACART DATA'!$B$2:$N$1001,13,FALSE)</f>
        <v>0</v>
      </c>
    </row>
    <row r="669" spans="1:10">
      <c r="A669" s="2">
        <f>VLOOKUP(B669,CHOOSE({1,2},'NOVACART DATA'!$B$2:$B$1001,'NOVACART DATA'!$A$2:$A$1001),2,FALSE)</f>
        <v>45759</v>
      </c>
      <c r="B669" s="1">
        <v>1223</v>
      </c>
      <c r="C669" s="1">
        <f>VLOOKUP(B669,'NOVACART DATA'!$B$2:$C$1000,2,FALSE)</f>
        <v>90</v>
      </c>
      <c r="D669" s="1">
        <v>38</v>
      </c>
      <c r="E669" s="1" t="str">
        <f>VLOOKUP(B669,'NOVACART DATA'!$B$2:$M$1001,5,FALSE)</f>
        <v>Organic</v>
      </c>
      <c r="F669" s="1">
        <v>1</v>
      </c>
      <c r="G669" s="1">
        <v>25.14</v>
      </c>
      <c r="H669" s="1">
        <v>20</v>
      </c>
      <c r="I669" s="17">
        <f t="shared" si="10"/>
        <v>20.112000000000002</v>
      </c>
      <c r="J669" s="1">
        <f>VLOOKUP(B669,'NOVACART DATA'!$B$2:$N$1001,13,FALSE)</f>
        <v>0</v>
      </c>
    </row>
    <row r="670" spans="1:10">
      <c r="A670" s="2">
        <f>VLOOKUP(B670,CHOOSE({1,2},'NOVACART DATA'!$B$2:$B$1001,'NOVACART DATA'!$A$2:$A$1001),2,FALSE)</f>
        <v>45789</v>
      </c>
      <c r="B670" s="1">
        <v>1227</v>
      </c>
      <c r="C670" s="1">
        <f>VLOOKUP(B670,'NOVACART DATA'!$B$2:$C$1000,2,FALSE)</f>
        <v>90</v>
      </c>
      <c r="D670" s="1">
        <v>37</v>
      </c>
      <c r="E670" s="1" t="str">
        <f>VLOOKUP(B670,'NOVACART DATA'!$B$2:$M$1001,5,FALSE)</f>
        <v>Organic</v>
      </c>
      <c r="F670" s="1">
        <v>1</v>
      </c>
      <c r="G670" s="1">
        <v>52.67</v>
      </c>
      <c r="H670" s="1">
        <v>0</v>
      </c>
      <c r="I670" s="17">
        <f t="shared" si="10"/>
        <v>52.67</v>
      </c>
      <c r="J670" s="1">
        <f>VLOOKUP(B670,'NOVACART DATA'!$B$2:$N$1001,13,FALSE)</f>
        <v>0</v>
      </c>
    </row>
    <row r="671" spans="1:10">
      <c r="A671" s="2">
        <f>VLOOKUP(B671,CHOOSE({1,2},'NOVACART DATA'!$B$2:$B$1001,'NOVACART DATA'!$A$2:$A$1001),2,FALSE)</f>
        <v>46018</v>
      </c>
      <c r="B671" s="1">
        <v>1339</v>
      </c>
      <c r="C671" s="1">
        <f>VLOOKUP(B671,'NOVACART DATA'!$B$2:$C$1000,2,FALSE)</f>
        <v>90</v>
      </c>
      <c r="D671" s="1">
        <v>36</v>
      </c>
      <c r="E671" s="1" t="str">
        <f>VLOOKUP(B671,'NOVACART DATA'!$B$2:$M$1001,5,FALSE)</f>
        <v>Organic</v>
      </c>
      <c r="F671" s="1">
        <v>1</v>
      </c>
      <c r="G671" s="1">
        <v>23.23</v>
      </c>
      <c r="H671" s="1">
        <v>0</v>
      </c>
      <c r="I671" s="17">
        <f t="shared" si="10"/>
        <v>23.23</v>
      </c>
      <c r="J671" s="1">
        <f>VLOOKUP(B671,'NOVACART DATA'!$B$2:$N$1001,13,FALSE)</f>
        <v>0</v>
      </c>
    </row>
    <row r="672" spans="1:10">
      <c r="A672" s="2">
        <f>VLOOKUP(B672,CHOOSE({1,2},'NOVACART DATA'!$B$2:$B$1001,'NOVACART DATA'!$A$2:$A$1001),2,FALSE)</f>
        <v>46018</v>
      </c>
      <c r="B672" s="1">
        <v>1339</v>
      </c>
      <c r="C672" s="1">
        <f>VLOOKUP(B672,'NOVACART DATA'!$B$2:$C$1000,2,FALSE)</f>
        <v>90</v>
      </c>
      <c r="D672" s="1">
        <v>37</v>
      </c>
      <c r="E672" s="1" t="str">
        <f>VLOOKUP(B672,'NOVACART DATA'!$B$2:$M$1001,5,FALSE)</f>
        <v>Organic</v>
      </c>
      <c r="F672" s="1">
        <v>2</v>
      </c>
      <c r="G672" s="1">
        <v>52.67</v>
      </c>
      <c r="H672" s="1">
        <v>0</v>
      </c>
      <c r="I672" s="17">
        <f t="shared" si="10"/>
        <v>105.34</v>
      </c>
      <c r="J672" s="1">
        <f>VLOOKUP(B672,'NOVACART DATA'!$B$2:$N$1001,13,FALSE)</f>
        <v>0</v>
      </c>
    </row>
    <row r="673" spans="1:10">
      <c r="A673" s="2">
        <f>VLOOKUP(B673,CHOOSE({1,2},'NOVACART DATA'!$B$2:$B$1001,'NOVACART DATA'!$A$2:$A$1001),2,FALSE)</f>
        <v>46018</v>
      </c>
      <c r="B673" s="1">
        <v>1339</v>
      </c>
      <c r="C673" s="1">
        <f>VLOOKUP(B673,'NOVACART DATA'!$B$2:$C$1000,2,FALSE)</f>
        <v>90</v>
      </c>
      <c r="D673" s="1">
        <v>33</v>
      </c>
      <c r="E673" s="1" t="str">
        <f>VLOOKUP(B673,'NOVACART DATA'!$B$2:$M$1001,5,FALSE)</f>
        <v>Organic</v>
      </c>
      <c r="F673" s="1">
        <v>2</v>
      </c>
      <c r="G673" s="1">
        <v>40.94</v>
      </c>
      <c r="H673" s="1">
        <v>0</v>
      </c>
      <c r="I673" s="17">
        <f t="shared" si="10"/>
        <v>81.88</v>
      </c>
      <c r="J673" s="1">
        <f>VLOOKUP(B673,'NOVACART DATA'!$B$2:$N$1001,13,FALSE)</f>
        <v>0</v>
      </c>
    </row>
    <row r="674" spans="1:10">
      <c r="A674" s="2">
        <f>VLOOKUP(B674,CHOOSE({1,2},'NOVACART DATA'!$B$2:$B$1001,'NOVACART DATA'!$A$2:$A$1001),2,FALSE)</f>
        <v>46018</v>
      </c>
      <c r="B674" s="1">
        <v>1339</v>
      </c>
      <c r="C674" s="1">
        <f>VLOOKUP(B674,'NOVACART DATA'!$B$2:$C$1000,2,FALSE)</f>
        <v>90</v>
      </c>
      <c r="D674" s="1">
        <v>30</v>
      </c>
      <c r="E674" s="1" t="str">
        <f>VLOOKUP(B674,'NOVACART DATA'!$B$2:$M$1001,5,FALSE)</f>
        <v>Organic</v>
      </c>
      <c r="F674" s="1">
        <v>2</v>
      </c>
      <c r="G674" s="1">
        <v>41.49</v>
      </c>
      <c r="H674" s="1">
        <v>0</v>
      </c>
      <c r="I674" s="17">
        <f t="shared" si="10"/>
        <v>82.98</v>
      </c>
      <c r="J674" s="1">
        <f>VLOOKUP(B674,'NOVACART DATA'!$B$2:$N$1001,13,FALSE)</f>
        <v>0</v>
      </c>
    </row>
    <row r="675" spans="1:10">
      <c r="A675" s="2">
        <f>VLOOKUP(B675,CHOOSE({1,2},'NOVACART DATA'!$B$2:$B$1001,'NOVACART DATA'!$A$2:$A$1001),2,FALSE)</f>
        <v>46037</v>
      </c>
      <c r="B675" s="1">
        <v>1405</v>
      </c>
      <c r="C675" s="1">
        <f>VLOOKUP(B675,'NOVACART DATA'!$B$2:$C$1000,2,FALSE)</f>
        <v>90</v>
      </c>
      <c r="D675" s="1">
        <v>4</v>
      </c>
      <c r="E675" s="1" t="str">
        <f>VLOOKUP(B675,'NOVACART DATA'!$B$2:$M$1001,5,FALSE)</f>
        <v>Organic</v>
      </c>
      <c r="F675" s="1">
        <v>2</v>
      </c>
      <c r="G675" s="1">
        <v>34.83</v>
      </c>
      <c r="H675" s="1">
        <v>0</v>
      </c>
      <c r="I675" s="17">
        <f t="shared" si="10"/>
        <v>69.66</v>
      </c>
      <c r="J675" s="1">
        <f>VLOOKUP(B675,'NOVACART DATA'!$B$2:$N$1001,13,FALSE)</f>
        <v>0</v>
      </c>
    </row>
    <row r="676" spans="1:10">
      <c r="A676" s="2">
        <f>VLOOKUP(B676,CHOOSE({1,2},'NOVACART DATA'!$B$2:$B$1001,'NOVACART DATA'!$A$2:$A$1001),2,FALSE)</f>
        <v>45728</v>
      </c>
      <c r="B676" s="1">
        <v>1220</v>
      </c>
      <c r="C676" s="1">
        <f>VLOOKUP(B676,'NOVACART DATA'!$B$2:$C$1000,2,FALSE)</f>
        <v>91</v>
      </c>
      <c r="D676" s="1">
        <v>13</v>
      </c>
      <c r="E676" s="1" t="str">
        <f>VLOOKUP(B676,'NOVACART DATA'!$B$2:$M$1001,5,FALSE)</f>
        <v>Social</v>
      </c>
      <c r="F676" s="1">
        <v>1</v>
      </c>
      <c r="G676" s="1">
        <v>54.9</v>
      </c>
      <c r="H676" s="1">
        <v>0</v>
      </c>
      <c r="I676" s="17">
        <f t="shared" si="10"/>
        <v>54.9</v>
      </c>
      <c r="J676" s="1">
        <f>VLOOKUP(B676,'NOVACART DATA'!$B$2:$N$1001,13,FALSE)</f>
        <v>0</v>
      </c>
    </row>
    <row r="677" spans="1:10">
      <c r="A677" s="2">
        <f>VLOOKUP(B677,CHOOSE({1,2},'NOVACART DATA'!$B$2:$B$1001,'NOVACART DATA'!$A$2:$A$1001),2,FALSE)</f>
        <v>45985</v>
      </c>
      <c r="B677" s="1">
        <v>1044</v>
      </c>
      <c r="C677" s="1">
        <f>VLOOKUP(B677,'NOVACART DATA'!$B$2:$C$1000,2,FALSE)</f>
        <v>5</v>
      </c>
      <c r="D677" s="1">
        <v>16</v>
      </c>
      <c r="E677" s="1" t="str">
        <f>VLOOKUP(B677,'NOVACART DATA'!$B$2:$M$1001,5,FALSE)</f>
        <v>Email</v>
      </c>
      <c r="F677" s="1">
        <v>3</v>
      </c>
      <c r="G677" s="1">
        <v>11.81</v>
      </c>
      <c r="H677" s="1">
        <v>0</v>
      </c>
      <c r="I677" s="17">
        <f t="shared" si="10"/>
        <v>35.43</v>
      </c>
      <c r="J677" s="1">
        <f>VLOOKUP(B677,'NOVACART DATA'!$B$2:$N$1001,13,FALSE)</f>
        <v>0</v>
      </c>
    </row>
    <row r="678" spans="1:10">
      <c r="A678" s="2">
        <f>VLOOKUP(B678,CHOOSE({1,2},'NOVACART DATA'!$B$2:$B$1001,'NOVACART DATA'!$A$2:$A$1001),2,FALSE)</f>
        <v>46037</v>
      </c>
      <c r="B678" s="1">
        <v>1406</v>
      </c>
      <c r="C678" s="1">
        <f>VLOOKUP(B678,'NOVACART DATA'!$B$2:$C$1000,2,FALSE)</f>
        <v>91</v>
      </c>
      <c r="D678" s="1">
        <v>6</v>
      </c>
      <c r="E678" s="1" t="str">
        <f>VLOOKUP(B678,'NOVACART DATA'!$B$2:$M$1001,5,FALSE)</f>
        <v>Social</v>
      </c>
      <c r="F678" s="1">
        <v>1</v>
      </c>
      <c r="G678" s="1">
        <v>70.47</v>
      </c>
      <c r="H678" s="1">
        <v>10</v>
      </c>
      <c r="I678" s="17">
        <f t="shared" si="10"/>
        <v>63.423000000000002</v>
      </c>
      <c r="J678" s="1">
        <f>VLOOKUP(B678,'NOVACART DATA'!$B$2:$N$1001,13,FALSE)</f>
        <v>0</v>
      </c>
    </row>
    <row r="679" spans="1:10">
      <c r="A679" s="2">
        <f>VLOOKUP(B679,CHOOSE({1,2},'NOVACART DATA'!$B$2:$B$1001,'NOVACART DATA'!$A$2:$A$1001),2,FALSE)</f>
        <v>45985</v>
      </c>
      <c r="B679" s="1">
        <v>1172</v>
      </c>
      <c r="C679" s="1">
        <f>VLOOKUP(B679,'NOVACART DATA'!$B$2:$C$1000,2,FALSE)</f>
        <v>92</v>
      </c>
      <c r="D679" s="1">
        <v>36</v>
      </c>
      <c r="E679" s="1" t="str">
        <f>VLOOKUP(B679,'NOVACART DATA'!$B$2:$M$1001,5,FALSE)</f>
        <v>Organic</v>
      </c>
      <c r="F679" s="1">
        <v>1</v>
      </c>
      <c r="G679" s="1">
        <v>23.23</v>
      </c>
      <c r="H679" s="1">
        <v>0</v>
      </c>
      <c r="I679" s="17">
        <f t="shared" si="10"/>
        <v>23.23</v>
      </c>
      <c r="J679" s="1">
        <f>VLOOKUP(B679,'NOVACART DATA'!$B$2:$N$1001,13,FALSE)</f>
        <v>0</v>
      </c>
    </row>
    <row r="680" spans="1:10">
      <c r="A680" s="2">
        <f>VLOOKUP(B680,CHOOSE({1,2},'NOVACART DATA'!$B$2:$B$1001,'NOVACART DATA'!$A$2:$A$1001),2,FALSE)</f>
        <v>45985</v>
      </c>
      <c r="B680" s="1">
        <v>1172</v>
      </c>
      <c r="C680" s="1">
        <f>VLOOKUP(B680,'NOVACART DATA'!$B$2:$C$1000,2,FALSE)</f>
        <v>92</v>
      </c>
      <c r="D680" s="1">
        <v>24</v>
      </c>
      <c r="E680" s="1" t="str">
        <f>VLOOKUP(B680,'NOVACART DATA'!$B$2:$M$1001,5,FALSE)</f>
        <v>Organic</v>
      </c>
      <c r="F680" s="1">
        <v>1</v>
      </c>
      <c r="G680" s="1">
        <v>43.42</v>
      </c>
      <c r="H680" s="1">
        <v>0</v>
      </c>
      <c r="I680" s="17">
        <f t="shared" si="10"/>
        <v>43.42</v>
      </c>
      <c r="J680" s="1">
        <f>VLOOKUP(B680,'NOVACART DATA'!$B$2:$N$1001,13,FALSE)</f>
        <v>0</v>
      </c>
    </row>
    <row r="681" spans="1:10">
      <c r="A681" s="2">
        <f>VLOOKUP(B681,CHOOSE({1,2},'NOVACART DATA'!$B$2:$B$1001,'NOVACART DATA'!$A$2:$A$1001),2,FALSE)</f>
        <v>45881</v>
      </c>
      <c r="B681" s="1">
        <v>1241</v>
      </c>
      <c r="C681" s="1">
        <f>VLOOKUP(B681,'NOVACART DATA'!$B$2:$C$1000,2,FALSE)</f>
        <v>92</v>
      </c>
      <c r="D681" s="1">
        <v>11</v>
      </c>
      <c r="E681" s="1" t="str">
        <f>VLOOKUP(B681,'NOVACART DATA'!$B$2:$M$1001,5,FALSE)</f>
        <v>Organic</v>
      </c>
      <c r="F681" s="1">
        <v>1</v>
      </c>
      <c r="G681" s="1">
        <v>58.35</v>
      </c>
      <c r="H681" s="1">
        <v>0</v>
      </c>
      <c r="I681" s="17">
        <f t="shared" si="10"/>
        <v>58.35</v>
      </c>
      <c r="J681" s="1">
        <f>VLOOKUP(B681,'NOVACART DATA'!$B$2:$N$1001,13,FALSE)</f>
        <v>1</v>
      </c>
    </row>
    <row r="682" spans="1:10">
      <c r="A682" s="2">
        <f>VLOOKUP(B682,CHOOSE({1,2},'NOVACART DATA'!$B$2:$B$1001,'NOVACART DATA'!$A$2:$A$1001),2,FALSE)</f>
        <v>46016</v>
      </c>
      <c r="B682" s="1">
        <v>1344</v>
      </c>
      <c r="C682" s="1">
        <f>VLOOKUP(B682,'NOVACART DATA'!$B$2:$C$1000,2,FALSE)</f>
        <v>93</v>
      </c>
      <c r="D682" s="1">
        <v>21</v>
      </c>
      <c r="E682" s="1" t="str">
        <f>VLOOKUP(B682,'NOVACART DATA'!$B$2:$M$1001,5,FALSE)</f>
        <v>Paid Search</v>
      </c>
      <c r="F682" s="1">
        <v>3</v>
      </c>
      <c r="G682" s="1">
        <v>49.37</v>
      </c>
      <c r="H682" s="1">
        <v>20</v>
      </c>
      <c r="I682" s="17">
        <f t="shared" si="10"/>
        <v>118.488</v>
      </c>
      <c r="J682" s="1">
        <f>VLOOKUP(B682,'NOVACART DATA'!$B$2:$N$1001,13,FALSE)</f>
        <v>0</v>
      </c>
    </row>
    <row r="683" spans="1:10">
      <c r="A683" s="2">
        <f>VLOOKUP(B683,CHOOSE({1,2},'NOVACART DATA'!$B$2:$B$1001,'NOVACART DATA'!$A$2:$A$1001),2,FALSE)</f>
        <v>46016</v>
      </c>
      <c r="B683" s="1">
        <v>1344</v>
      </c>
      <c r="C683" s="1">
        <f>VLOOKUP(B683,'NOVACART DATA'!$B$2:$C$1000,2,FALSE)</f>
        <v>93</v>
      </c>
      <c r="D683" s="1">
        <v>25</v>
      </c>
      <c r="E683" s="1" t="str">
        <f>VLOOKUP(B683,'NOVACART DATA'!$B$2:$M$1001,5,FALSE)</f>
        <v>Paid Search</v>
      </c>
      <c r="F683" s="1">
        <v>1</v>
      </c>
      <c r="G683" s="1">
        <v>17.78</v>
      </c>
      <c r="H683" s="1">
        <v>15</v>
      </c>
      <c r="I683" s="17">
        <f t="shared" si="10"/>
        <v>15.113000000000001</v>
      </c>
      <c r="J683" s="1">
        <f>VLOOKUP(B683,'NOVACART DATA'!$B$2:$N$1001,13,FALSE)</f>
        <v>0</v>
      </c>
    </row>
    <row r="684" spans="1:10">
      <c r="A684" s="2">
        <f>VLOOKUP(B684,CHOOSE({1,2},'NOVACART DATA'!$B$2:$B$1001,'NOVACART DATA'!$A$2:$A$1001),2,FALSE)</f>
        <v>45983</v>
      </c>
      <c r="B684" s="1">
        <v>1164</v>
      </c>
      <c r="C684" s="1">
        <f>VLOOKUP(B684,'NOVACART DATA'!$B$2:$C$1000,2,FALSE)</f>
        <v>94</v>
      </c>
      <c r="D684" s="1">
        <v>5</v>
      </c>
      <c r="E684" s="1" t="str">
        <f>VLOOKUP(B684,'NOVACART DATA'!$B$2:$M$1001,5,FALSE)</f>
        <v>Paid Search</v>
      </c>
      <c r="F684" s="1">
        <v>1</v>
      </c>
      <c r="G684" s="1">
        <v>42.53</v>
      </c>
      <c r="H684" s="1">
        <v>0</v>
      </c>
      <c r="I684" s="17">
        <f t="shared" si="10"/>
        <v>42.53</v>
      </c>
      <c r="J684" s="1">
        <f>VLOOKUP(B684,'NOVACART DATA'!$B$2:$N$1001,13,FALSE)</f>
        <v>0</v>
      </c>
    </row>
    <row r="685" spans="1:10">
      <c r="A685" s="2">
        <f>VLOOKUP(B685,CHOOSE({1,2},'NOVACART DATA'!$B$2:$B$1001,'NOVACART DATA'!$A$2:$A$1001),2,FALSE)</f>
        <v>45950</v>
      </c>
      <c r="B685" s="1">
        <v>1036</v>
      </c>
      <c r="C685" s="1">
        <f>VLOOKUP(B685,'NOVACART DATA'!$B$2:$C$1000,2,FALSE)</f>
        <v>96</v>
      </c>
      <c r="D685" s="1">
        <v>17</v>
      </c>
      <c r="E685" s="1" t="str">
        <f>VLOOKUP(B685,'NOVACART DATA'!$B$2:$M$1001,5,FALSE)</f>
        <v>Direct</v>
      </c>
      <c r="F685" s="1">
        <v>1</v>
      </c>
      <c r="G685" s="1">
        <v>6.61</v>
      </c>
      <c r="H685" s="1">
        <v>0</v>
      </c>
      <c r="I685" s="17">
        <f t="shared" si="10"/>
        <v>6.61</v>
      </c>
      <c r="J685" s="1">
        <f>VLOOKUP(B685,'NOVACART DATA'!$B$2:$N$1001,13,FALSE)</f>
        <v>0</v>
      </c>
    </row>
    <row r="686" spans="1:10">
      <c r="A686" s="2">
        <f>VLOOKUP(B686,CHOOSE({1,2},'NOVACART DATA'!$B$2:$B$1001,'NOVACART DATA'!$A$2:$A$1001),2,FALSE)</f>
        <v>45950</v>
      </c>
      <c r="B686" s="1">
        <v>1036</v>
      </c>
      <c r="C686" s="1">
        <f>VLOOKUP(B686,'NOVACART DATA'!$B$2:$C$1000,2,FALSE)</f>
        <v>96</v>
      </c>
      <c r="D686" s="1" t="str">
        <f>_xlfn.XLOOKUP(E686,'Product Data'!$B$2:$B$100,'Product Data'!$A$2:$A$100,"Not Found")</f>
        <v>Not Found</v>
      </c>
      <c r="E686" s="1" t="str">
        <f>VLOOKUP(B686,'NOVACART DATA'!$B$2:$M$1001,5,FALSE)</f>
        <v>Direct</v>
      </c>
      <c r="F686" s="1">
        <v>1</v>
      </c>
      <c r="G686" s="1">
        <v>25.14</v>
      </c>
      <c r="H686" s="1">
        <v>0</v>
      </c>
      <c r="I686" s="17">
        <f t="shared" si="10"/>
        <v>25.14</v>
      </c>
      <c r="J686" s="1">
        <f>VLOOKUP(B686,'NOVACART DATA'!$B$2:$N$1001,13,FALSE)</f>
        <v>0</v>
      </c>
    </row>
    <row r="687" spans="1:10">
      <c r="A687" s="2">
        <f>VLOOKUP(B687,CHOOSE({1,2},'NOVACART DATA'!$B$2:$B$1001,'NOVACART DATA'!$A$2:$A$1001),2,FALSE)</f>
        <v>45950</v>
      </c>
      <c r="B687" s="1">
        <v>1036</v>
      </c>
      <c r="C687" s="1">
        <f>VLOOKUP(B687,'NOVACART DATA'!$B$2:$C$1000,2,FALSE)</f>
        <v>96</v>
      </c>
      <c r="D687" s="1">
        <v>27</v>
      </c>
      <c r="E687" s="1" t="str">
        <f>VLOOKUP(B687,'NOVACART DATA'!$B$2:$M$1001,5,FALSE)</f>
        <v>Direct</v>
      </c>
      <c r="F687" s="1">
        <v>1</v>
      </c>
      <c r="G687" s="1">
        <v>27.3</v>
      </c>
      <c r="H687" s="1">
        <v>0</v>
      </c>
      <c r="I687" s="17">
        <f t="shared" si="10"/>
        <v>27.3</v>
      </c>
      <c r="J687" s="1">
        <f>VLOOKUP(B687,'NOVACART DATA'!$B$2:$N$1001,13,FALSE)</f>
        <v>0</v>
      </c>
    </row>
    <row r="688" spans="1:10">
      <c r="A688" s="2">
        <f>VLOOKUP(B688,CHOOSE({1,2},'NOVACART DATA'!$B$2:$B$1001,'NOVACART DATA'!$A$2:$A$1001),2,FALSE)</f>
        <v>45950</v>
      </c>
      <c r="B688" s="1">
        <v>1036</v>
      </c>
      <c r="C688" s="1">
        <f>VLOOKUP(B688,'NOVACART DATA'!$B$2:$C$1000,2,FALSE)</f>
        <v>96</v>
      </c>
      <c r="D688" s="1">
        <v>33</v>
      </c>
      <c r="E688" s="1" t="str">
        <f>VLOOKUP(B688,'NOVACART DATA'!$B$2:$M$1001,5,FALSE)</f>
        <v>Direct</v>
      </c>
      <c r="F688" s="1">
        <v>3</v>
      </c>
      <c r="G688" s="1">
        <v>40.94</v>
      </c>
      <c r="H688" s="1">
        <v>0</v>
      </c>
      <c r="I688" s="17">
        <f t="shared" si="10"/>
        <v>122.82</v>
      </c>
      <c r="J688" s="1">
        <f>VLOOKUP(B688,'NOVACART DATA'!$B$2:$N$1001,13,FALSE)</f>
        <v>0</v>
      </c>
    </row>
    <row r="689" spans="1:10">
      <c r="A689" s="2">
        <f>VLOOKUP(B689,CHOOSE({1,2},'NOVACART DATA'!$B$2:$B$1001,'NOVACART DATA'!$A$2:$A$1001),2,FALSE)</f>
        <v>46114</v>
      </c>
      <c r="B689" s="1">
        <v>1454</v>
      </c>
      <c r="C689" s="1">
        <f>VLOOKUP(B689,'NOVACART DATA'!$B$2:$C$1000,2,FALSE)</f>
        <v>96</v>
      </c>
      <c r="D689" s="1">
        <v>1</v>
      </c>
      <c r="E689" s="1" t="str">
        <f>VLOOKUP(B689,'NOVACART DATA'!$B$2:$M$1001,5,FALSE)</f>
        <v>Direct</v>
      </c>
      <c r="F689" s="1">
        <v>1</v>
      </c>
      <c r="G689" s="1">
        <v>47.45</v>
      </c>
      <c r="H689" s="1">
        <v>0</v>
      </c>
      <c r="I689" s="17">
        <f t="shared" si="10"/>
        <v>47.45</v>
      </c>
      <c r="J689" s="1">
        <f>VLOOKUP(B689,'NOVACART DATA'!$B$2:$N$1001,13,FALSE)</f>
        <v>0</v>
      </c>
    </row>
    <row r="690" spans="1:10">
      <c r="A690" s="2">
        <f>VLOOKUP(B690,CHOOSE({1,2},'NOVACART DATA'!$B$2:$B$1001,'NOVACART DATA'!$A$2:$A$1001),2,FALSE)</f>
        <v>46114</v>
      </c>
      <c r="B690" s="1">
        <v>1454</v>
      </c>
      <c r="C690" s="1">
        <f>VLOOKUP(B690,'NOVACART DATA'!$B$2:$C$1000,2,FALSE)</f>
        <v>96</v>
      </c>
      <c r="D690" s="1">
        <v>15</v>
      </c>
      <c r="E690" s="1" t="str">
        <f>VLOOKUP(B690,'NOVACART DATA'!$B$2:$M$1001,5,FALSE)</f>
        <v>Direct</v>
      </c>
      <c r="F690" s="1">
        <v>1</v>
      </c>
      <c r="G690" s="1">
        <v>47.71</v>
      </c>
      <c r="H690" s="1">
        <v>0</v>
      </c>
      <c r="I690" s="17">
        <f t="shared" si="10"/>
        <v>47.71</v>
      </c>
      <c r="J690" s="1">
        <f>VLOOKUP(B690,'NOVACART DATA'!$B$2:$N$1001,13,FALSE)</f>
        <v>0</v>
      </c>
    </row>
    <row r="691" spans="1:10">
      <c r="A691" s="2">
        <f>VLOOKUP(B691,CHOOSE({1,2},'NOVACART DATA'!$B$2:$B$1001,'NOVACART DATA'!$A$2:$A$1001),2,FALSE)</f>
        <v>45949</v>
      </c>
      <c r="B691" s="1">
        <v>1030</v>
      </c>
      <c r="C691" s="1">
        <f>VLOOKUP(B691,'NOVACART DATA'!$B$2:$C$1000,2,FALSE)</f>
        <v>97</v>
      </c>
      <c r="D691" s="1">
        <v>39</v>
      </c>
      <c r="E691" s="1" t="str">
        <f>VLOOKUP(B691,'NOVACART DATA'!$B$2:$M$1001,5,FALSE)</f>
        <v>Organic</v>
      </c>
      <c r="F691" s="1">
        <v>1</v>
      </c>
      <c r="G691" s="1">
        <v>39.979999999999997</v>
      </c>
      <c r="H691" s="1">
        <v>20</v>
      </c>
      <c r="I691" s="17">
        <f t="shared" si="10"/>
        <v>31.983999999999998</v>
      </c>
      <c r="J691" s="1">
        <f>VLOOKUP(B691,'NOVACART DATA'!$B$2:$N$1001,13,FALSE)</f>
        <v>0</v>
      </c>
    </row>
    <row r="692" spans="1:10">
      <c r="A692" s="2">
        <f>VLOOKUP(B692,CHOOSE({1,2},'NOVACART DATA'!$B$2:$B$1001,'NOVACART DATA'!$A$2:$A$1001),2,FALSE)</f>
        <v>45668</v>
      </c>
      <c r="B692" s="1">
        <v>1069</v>
      </c>
      <c r="C692" s="1">
        <f>VLOOKUP(B692,'NOVACART DATA'!$B$2:$C$1000,2,FALSE)</f>
        <v>97</v>
      </c>
      <c r="D692" s="1">
        <v>31</v>
      </c>
      <c r="E692" s="1" t="str">
        <f>VLOOKUP(B692,'NOVACART DATA'!$B$2:$M$1001,5,FALSE)</f>
        <v>Direct</v>
      </c>
      <c r="F692" s="1">
        <v>1</v>
      </c>
      <c r="G692" s="1">
        <v>57.51</v>
      </c>
      <c r="H692" s="1">
        <v>0</v>
      </c>
      <c r="I692" s="17">
        <f t="shared" si="10"/>
        <v>57.51</v>
      </c>
      <c r="J692" s="1">
        <f>VLOOKUP(B692,'NOVACART DATA'!$B$2:$N$1001,13,FALSE)</f>
        <v>0</v>
      </c>
    </row>
    <row r="693" spans="1:10">
      <c r="A693" s="2">
        <f>VLOOKUP(B693,CHOOSE({1,2},'NOVACART DATA'!$B$2:$B$1001,'NOVACART DATA'!$A$2:$A$1001),2,FALSE)</f>
        <v>45987</v>
      </c>
      <c r="B693" s="1">
        <v>1182</v>
      </c>
      <c r="C693" s="1">
        <f>VLOOKUP(B693,'NOVACART DATA'!$B$2:$C$1000,2,FALSE)</f>
        <v>97</v>
      </c>
      <c r="D693" s="1">
        <v>15</v>
      </c>
      <c r="E693" s="1" t="str">
        <f>VLOOKUP(B693,'NOVACART DATA'!$B$2:$M$1001,5,FALSE)</f>
        <v>Direct</v>
      </c>
      <c r="F693" s="1">
        <v>2</v>
      </c>
      <c r="G693" s="1">
        <v>47.71</v>
      </c>
      <c r="H693" s="1">
        <v>0</v>
      </c>
      <c r="I693" s="17">
        <f t="shared" si="10"/>
        <v>95.42</v>
      </c>
      <c r="J693" s="1">
        <f>VLOOKUP(B693,'NOVACART DATA'!$B$2:$N$1001,13,FALSE)</f>
        <v>0</v>
      </c>
    </row>
    <row r="694" spans="1:10">
      <c r="A694" s="2">
        <f>VLOOKUP(B694,CHOOSE({1,2},'NOVACART DATA'!$B$2:$B$1001,'NOVACART DATA'!$A$2:$A$1001),2,FALSE)</f>
        <v>46020</v>
      </c>
      <c r="B694" s="1">
        <v>1356</v>
      </c>
      <c r="C694" s="1">
        <f>VLOOKUP(B694,'NOVACART DATA'!$B$2:$C$1000,2,FALSE)</f>
        <v>97</v>
      </c>
      <c r="D694" s="1">
        <v>24</v>
      </c>
      <c r="E694" s="1" t="str">
        <f>VLOOKUP(B694,'NOVACART DATA'!$B$2:$M$1001,5,FALSE)</f>
        <v>Direct</v>
      </c>
      <c r="F694" s="1">
        <v>1</v>
      </c>
      <c r="G694" s="1">
        <v>43.42</v>
      </c>
      <c r="H694" s="1">
        <v>0</v>
      </c>
      <c r="I694" s="17">
        <f t="shared" si="10"/>
        <v>43.42</v>
      </c>
      <c r="J694" s="1">
        <f>VLOOKUP(B694,'NOVACART DATA'!$B$2:$N$1001,13,FALSE)</f>
        <v>0</v>
      </c>
    </row>
    <row r="695" spans="1:10">
      <c r="A695" s="2">
        <f>VLOOKUP(B695,CHOOSE({1,2},'NOVACART DATA'!$B$2:$B$1001,'NOVACART DATA'!$A$2:$A$1001),2,FALSE)</f>
        <v>46053</v>
      </c>
      <c r="B695" s="1">
        <v>1443</v>
      </c>
      <c r="C695" s="1">
        <f>VLOOKUP(B695,'NOVACART DATA'!$B$2:$C$1000,2,FALSE)</f>
        <v>97</v>
      </c>
      <c r="D695" s="1">
        <v>31</v>
      </c>
      <c r="E695" s="1" t="str">
        <f>VLOOKUP(B695,'NOVACART DATA'!$B$2:$M$1001,5,FALSE)</f>
        <v>Direct</v>
      </c>
      <c r="F695" s="1">
        <v>2</v>
      </c>
      <c r="G695" s="1">
        <v>57.51</v>
      </c>
      <c r="H695" s="1">
        <v>0</v>
      </c>
      <c r="I695" s="17">
        <f t="shared" si="10"/>
        <v>115.02</v>
      </c>
      <c r="J695" s="1">
        <f>VLOOKUP(B695,'NOVACART DATA'!$B$2:$N$1001,13,FALSE)</f>
        <v>1</v>
      </c>
    </row>
    <row r="696" spans="1:10">
      <c r="A696" s="2">
        <f>VLOOKUP(B696,CHOOSE({1,2},'NOVACART DATA'!$B$2:$B$1001,'NOVACART DATA'!$A$2:$A$1001),2,FALSE)</f>
        <v>46053</v>
      </c>
      <c r="B696" s="1">
        <v>1443</v>
      </c>
      <c r="C696" s="1">
        <f>VLOOKUP(B696,'NOVACART DATA'!$B$2:$C$1000,2,FALSE)</f>
        <v>97</v>
      </c>
      <c r="D696" s="1">
        <v>30</v>
      </c>
      <c r="E696" s="1" t="str">
        <f>VLOOKUP(B696,'NOVACART DATA'!$B$2:$M$1001,5,FALSE)</f>
        <v>Direct</v>
      </c>
      <c r="F696" s="1">
        <v>1</v>
      </c>
      <c r="G696" s="1">
        <v>41.49</v>
      </c>
      <c r="H696" s="1">
        <v>0</v>
      </c>
      <c r="I696" s="17">
        <f t="shared" si="10"/>
        <v>41.49</v>
      </c>
      <c r="J696" s="1">
        <f>VLOOKUP(B696,'NOVACART DATA'!$B$2:$N$1001,13,FALSE)</f>
        <v>1</v>
      </c>
    </row>
    <row r="697" spans="1:10">
      <c r="A697" s="2">
        <f>VLOOKUP(B697,CHOOSE({1,2},'NOVACART DATA'!$B$2:$B$1001,'NOVACART DATA'!$A$2:$A$1001),2,FALSE)</f>
        <v>45947</v>
      </c>
      <c r="B697" s="1">
        <v>1019</v>
      </c>
      <c r="C697" s="1">
        <f>VLOOKUP(B697,'NOVACART DATA'!$B$2:$C$1000,2,FALSE)</f>
        <v>98</v>
      </c>
      <c r="D697" s="1">
        <v>30</v>
      </c>
      <c r="E697" s="1" t="str">
        <f>VLOOKUP(B697,'NOVACART DATA'!$B$2:$M$1001,5,FALSE)</f>
        <v>Organic</v>
      </c>
      <c r="F697" s="1">
        <v>1</v>
      </c>
      <c r="G697" s="1">
        <v>41.49</v>
      </c>
      <c r="H697" s="1">
        <v>10</v>
      </c>
      <c r="I697" s="17">
        <f t="shared" si="10"/>
        <v>37.341000000000001</v>
      </c>
      <c r="J697" s="1">
        <f>VLOOKUP(B697,'NOVACART DATA'!$B$2:$N$1001,13,FALSE)</f>
        <v>0</v>
      </c>
    </row>
    <row r="698" spans="1:10">
      <c r="A698" s="2">
        <f>VLOOKUP(B698,CHOOSE({1,2},'NOVACART DATA'!$B$2:$B$1001,'NOVACART DATA'!$A$2:$A$1001),2,FALSE)</f>
        <v>45947</v>
      </c>
      <c r="B698" s="1">
        <v>1019</v>
      </c>
      <c r="C698" s="1">
        <f>VLOOKUP(B698,'NOVACART DATA'!$B$2:$C$1000,2,FALSE)</f>
        <v>98</v>
      </c>
      <c r="D698" s="1">
        <v>39</v>
      </c>
      <c r="E698" s="1" t="str">
        <f>VLOOKUP(B698,'NOVACART DATA'!$B$2:$M$1001,5,FALSE)</f>
        <v>Organic</v>
      </c>
      <c r="F698" s="1">
        <v>2</v>
      </c>
      <c r="G698" s="1">
        <v>39.979999999999997</v>
      </c>
      <c r="H698" s="1">
        <v>0</v>
      </c>
      <c r="I698" s="17">
        <f t="shared" si="10"/>
        <v>79.959999999999994</v>
      </c>
      <c r="J698" s="1">
        <f>VLOOKUP(B698,'NOVACART DATA'!$B$2:$N$1001,13,FALSE)</f>
        <v>0</v>
      </c>
    </row>
    <row r="699" spans="1:10">
      <c r="A699" s="2">
        <f>VLOOKUP(B699,CHOOSE({1,2},'NOVACART DATA'!$B$2:$B$1001,'NOVACART DATA'!$A$2:$A$1001),2,FALSE)</f>
        <v>45985</v>
      </c>
      <c r="B699" s="1">
        <v>1044</v>
      </c>
      <c r="C699" s="1">
        <f>VLOOKUP(B699,'NOVACART DATA'!$B$2:$C$1000,2,FALSE)</f>
        <v>5</v>
      </c>
      <c r="D699" s="1">
        <v>18</v>
      </c>
      <c r="E699" s="1" t="str">
        <f>VLOOKUP(B699,'NOVACART DATA'!$B$2:$M$1001,5,FALSE)</f>
        <v>Email</v>
      </c>
      <c r="F699" s="1">
        <v>2</v>
      </c>
      <c r="G699" s="1">
        <v>44.01</v>
      </c>
      <c r="H699" s="1">
        <v>10</v>
      </c>
      <c r="I699" s="17">
        <f t="shared" si="10"/>
        <v>79.218000000000004</v>
      </c>
      <c r="J699" s="1">
        <f>VLOOKUP(B699,'NOVACART DATA'!$B$2:$N$1001,13,FALSE)</f>
        <v>0</v>
      </c>
    </row>
    <row r="700" spans="1:10">
      <c r="A700" s="2">
        <f>VLOOKUP(B700,CHOOSE({1,2},'NOVACART DATA'!$B$2:$B$1001,'NOVACART DATA'!$A$2:$A$1001),2,FALSE)</f>
        <v>45849</v>
      </c>
      <c r="B700" s="1">
        <v>1089</v>
      </c>
      <c r="C700" s="1">
        <f>VLOOKUP(B700,'NOVACART DATA'!$B$2:$C$1000,2,FALSE)</f>
        <v>98</v>
      </c>
      <c r="D700" s="1">
        <v>31</v>
      </c>
      <c r="E700" s="1" t="str">
        <f>VLOOKUP(B700,'NOVACART DATA'!$B$2:$M$1001,5,FALSE)</f>
        <v>Organic</v>
      </c>
      <c r="F700" s="1">
        <v>1</v>
      </c>
      <c r="G700" s="1">
        <v>57.51</v>
      </c>
      <c r="H700" s="1">
        <v>10</v>
      </c>
      <c r="I700" s="17">
        <f t="shared" si="10"/>
        <v>51.759</v>
      </c>
      <c r="J700" s="1">
        <f>VLOOKUP(B700,'NOVACART DATA'!$B$2:$N$1001,13,FALSE)</f>
        <v>0</v>
      </c>
    </row>
    <row r="701" spans="1:10">
      <c r="A701" s="2">
        <f>VLOOKUP(B701,CHOOSE({1,2},'NOVACART DATA'!$B$2:$B$1001,'NOVACART DATA'!$A$2:$A$1001),2,FALSE)</f>
        <v>45849</v>
      </c>
      <c r="B701" s="1">
        <v>1089</v>
      </c>
      <c r="C701" s="1">
        <f>VLOOKUP(B701,'NOVACART DATA'!$B$2:$C$1000,2,FALSE)</f>
        <v>98</v>
      </c>
      <c r="D701" s="1">
        <v>20</v>
      </c>
      <c r="E701" s="1" t="str">
        <f>VLOOKUP(B701,'NOVACART DATA'!$B$2:$M$1001,5,FALSE)</f>
        <v>Organic</v>
      </c>
      <c r="F701" s="1">
        <v>1</v>
      </c>
      <c r="G701" s="1">
        <v>32.76</v>
      </c>
      <c r="H701" s="1">
        <v>0</v>
      </c>
      <c r="I701" s="17">
        <f t="shared" si="10"/>
        <v>32.76</v>
      </c>
      <c r="J701" s="1">
        <f>VLOOKUP(B701,'NOVACART DATA'!$B$2:$N$1001,13,FALSE)</f>
        <v>0</v>
      </c>
    </row>
    <row r="702" spans="1:10">
      <c r="A702" s="2">
        <f>VLOOKUP(B702,CHOOSE({1,2},'NOVACART DATA'!$B$2:$B$1001,'NOVACART DATA'!$A$2:$A$1001),2,FALSE)</f>
        <v>45911</v>
      </c>
      <c r="B702" s="1">
        <v>1100</v>
      </c>
      <c r="C702" s="1">
        <f>VLOOKUP(B702,'NOVACART DATA'!$B$2:$C$1000,2,FALSE)</f>
        <v>98</v>
      </c>
      <c r="D702" s="1">
        <v>4</v>
      </c>
      <c r="E702" s="1" t="str">
        <f>VLOOKUP(B702,'NOVACART DATA'!$B$2:$M$1001,5,FALSE)</f>
        <v>Organic</v>
      </c>
      <c r="F702" s="1">
        <v>1</v>
      </c>
      <c r="G702" s="1">
        <v>34.83</v>
      </c>
      <c r="H702" s="1">
        <v>0</v>
      </c>
      <c r="I702" s="17">
        <f t="shared" si="10"/>
        <v>34.83</v>
      </c>
      <c r="J702" s="1">
        <f>VLOOKUP(B702,'NOVACART DATA'!$B$2:$N$1001,13,FALSE)</f>
        <v>0</v>
      </c>
    </row>
    <row r="703" spans="1:10">
      <c r="A703" s="2">
        <f>VLOOKUP(B703,CHOOSE({1,2},'NOVACART DATA'!$B$2:$B$1001,'NOVACART DATA'!$A$2:$A$1001),2,FALSE)</f>
        <v>45911</v>
      </c>
      <c r="B703" s="1">
        <v>1100</v>
      </c>
      <c r="C703" s="1">
        <f>VLOOKUP(B703,'NOVACART DATA'!$B$2:$C$1000,2,FALSE)</f>
        <v>98</v>
      </c>
      <c r="D703" s="1">
        <v>31</v>
      </c>
      <c r="E703" s="1" t="str">
        <f>VLOOKUP(B703,'NOVACART DATA'!$B$2:$M$1001,5,FALSE)</f>
        <v>Organic</v>
      </c>
      <c r="F703" s="1">
        <v>1</v>
      </c>
      <c r="G703" s="1">
        <v>57.51</v>
      </c>
      <c r="H703" s="1">
        <v>5</v>
      </c>
      <c r="I703" s="17">
        <f t="shared" si="10"/>
        <v>54.634499999999996</v>
      </c>
      <c r="J703" s="1">
        <f>VLOOKUP(B703,'NOVACART DATA'!$B$2:$N$1001,13,FALSE)</f>
        <v>0</v>
      </c>
    </row>
    <row r="704" spans="1:10">
      <c r="A704" s="2">
        <f>VLOOKUP(B704,CHOOSE({1,2},'NOVACART DATA'!$B$2:$B$1001,'NOVACART DATA'!$A$2:$A$1001),2,FALSE)</f>
        <v>45911</v>
      </c>
      <c r="B704" s="1">
        <v>1100</v>
      </c>
      <c r="C704" s="1">
        <f>VLOOKUP(B704,'NOVACART DATA'!$B$2:$C$1000,2,FALSE)</f>
        <v>98</v>
      </c>
      <c r="D704" s="1">
        <v>16</v>
      </c>
      <c r="E704" s="1" t="str">
        <f>VLOOKUP(B704,'NOVACART DATA'!$B$2:$M$1001,5,FALSE)</f>
        <v>Organic</v>
      </c>
      <c r="F704" s="1">
        <v>2</v>
      </c>
      <c r="G704" s="1">
        <v>11.81</v>
      </c>
      <c r="H704" s="1">
        <v>5</v>
      </c>
      <c r="I704" s="17">
        <f t="shared" si="10"/>
        <v>22.439</v>
      </c>
      <c r="J704" s="1">
        <f>VLOOKUP(B704,'NOVACART DATA'!$B$2:$N$1001,13,FALSE)</f>
        <v>0</v>
      </c>
    </row>
    <row r="705" spans="1:10">
      <c r="A705" s="2">
        <f>VLOOKUP(B705,CHOOSE({1,2},'NOVACART DATA'!$B$2:$B$1001,'NOVACART DATA'!$A$2:$A$1001),2,FALSE)</f>
        <v>45911</v>
      </c>
      <c r="B705" s="1">
        <v>1100</v>
      </c>
      <c r="C705" s="1">
        <f>VLOOKUP(B705,'NOVACART DATA'!$B$2:$C$1000,2,FALSE)</f>
        <v>98</v>
      </c>
      <c r="D705" s="1">
        <v>30</v>
      </c>
      <c r="E705" s="1" t="str">
        <f>VLOOKUP(B705,'NOVACART DATA'!$B$2:$M$1001,5,FALSE)</f>
        <v>Organic</v>
      </c>
      <c r="F705" s="1">
        <v>1</v>
      </c>
      <c r="G705" s="1">
        <v>41.49</v>
      </c>
      <c r="H705" s="1">
        <v>0</v>
      </c>
      <c r="I705" s="17">
        <f t="shared" si="10"/>
        <v>41.49</v>
      </c>
      <c r="J705" s="1">
        <f>VLOOKUP(B705,'NOVACART DATA'!$B$2:$N$1001,13,FALSE)</f>
        <v>0</v>
      </c>
    </row>
    <row r="706" spans="1:10">
      <c r="A706" s="2">
        <f>VLOOKUP(B706,CHOOSE({1,2},'NOVACART DATA'!$B$2:$B$1001,'NOVACART DATA'!$A$2:$A$1001),2,FALSE)</f>
        <v>45972</v>
      </c>
      <c r="B706" s="1">
        <v>1114</v>
      </c>
      <c r="C706" s="1">
        <f>VLOOKUP(B706,'NOVACART DATA'!$B$2:$C$1000,2,FALSE)</f>
        <v>98</v>
      </c>
      <c r="D706" s="1">
        <v>21</v>
      </c>
      <c r="E706" s="1" t="str">
        <f>VLOOKUP(B706,'NOVACART DATA'!$B$2:$M$1001,5,FALSE)</f>
        <v>Organic</v>
      </c>
      <c r="F706" s="1">
        <v>2</v>
      </c>
      <c r="G706" s="1">
        <v>49.37</v>
      </c>
      <c r="H706" s="1">
        <v>20</v>
      </c>
      <c r="I706" s="17">
        <f t="shared" ref="I706:I769" si="11">F706*G706*(1-H706/100)</f>
        <v>78.992000000000004</v>
      </c>
      <c r="J706" s="1">
        <f>VLOOKUP(B706,'NOVACART DATA'!$B$2:$N$1001,13,FALSE)</f>
        <v>0</v>
      </c>
    </row>
    <row r="707" spans="1:10">
      <c r="A707" s="2">
        <f>VLOOKUP(B707,CHOOSE({1,2},'NOVACART DATA'!$B$2:$B$1001,'NOVACART DATA'!$A$2:$A$1001),2,FALSE)</f>
        <v>45975</v>
      </c>
      <c r="B707" s="1">
        <v>1128</v>
      </c>
      <c r="C707" s="1">
        <f>VLOOKUP(B707,'NOVACART DATA'!$B$2:$C$1000,2,FALSE)</f>
        <v>98</v>
      </c>
      <c r="D707" s="1">
        <v>21</v>
      </c>
      <c r="E707" s="1" t="str">
        <f>VLOOKUP(B707,'NOVACART DATA'!$B$2:$M$1001,5,FALSE)</f>
        <v>Organic</v>
      </c>
      <c r="F707" s="1">
        <v>2</v>
      </c>
      <c r="G707" s="1">
        <v>49.37</v>
      </c>
      <c r="H707" s="1">
        <v>0</v>
      </c>
      <c r="I707" s="17">
        <f t="shared" si="11"/>
        <v>98.74</v>
      </c>
      <c r="J707" s="1">
        <f>VLOOKUP(B707,'NOVACART DATA'!$B$2:$N$1001,13,FALSE)</f>
        <v>0</v>
      </c>
    </row>
    <row r="708" spans="1:10">
      <c r="A708" s="2">
        <f>VLOOKUP(B708,CHOOSE({1,2},'NOVACART DATA'!$B$2:$B$1001,'NOVACART DATA'!$A$2:$A$1001),2,FALSE)</f>
        <v>45975</v>
      </c>
      <c r="B708" s="1">
        <v>1128</v>
      </c>
      <c r="C708" s="1">
        <f>VLOOKUP(B708,'NOVACART DATA'!$B$2:$C$1000,2,FALSE)</f>
        <v>98</v>
      </c>
      <c r="D708" s="1">
        <v>14</v>
      </c>
      <c r="E708" s="1" t="str">
        <f>VLOOKUP(B708,'NOVACART DATA'!$B$2:$M$1001,5,FALSE)</f>
        <v>Organic</v>
      </c>
      <c r="F708" s="1">
        <v>1</v>
      </c>
      <c r="G708" s="1">
        <v>15.36</v>
      </c>
      <c r="H708" s="1">
        <v>0</v>
      </c>
      <c r="I708" s="17">
        <f t="shared" si="11"/>
        <v>15.36</v>
      </c>
      <c r="J708" s="1">
        <f>VLOOKUP(B708,'NOVACART DATA'!$B$2:$N$1001,13,FALSE)</f>
        <v>0</v>
      </c>
    </row>
    <row r="709" spans="1:10">
      <c r="A709" s="2">
        <f>VLOOKUP(B709,CHOOSE({1,2},'NOVACART DATA'!$B$2:$B$1001,'NOVACART DATA'!$A$2:$A$1001),2,FALSE)</f>
        <v>46014</v>
      </c>
      <c r="B709" s="1">
        <v>1315</v>
      </c>
      <c r="C709" s="1">
        <f>VLOOKUP(B709,'NOVACART DATA'!$B$2:$C$1000,2,FALSE)</f>
        <v>98</v>
      </c>
      <c r="D709" s="1">
        <v>33</v>
      </c>
      <c r="E709" s="1" t="str">
        <f>VLOOKUP(B709,'NOVACART DATA'!$B$2:$M$1001,5,FALSE)</f>
        <v>Organic</v>
      </c>
      <c r="F709" s="1">
        <v>3</v>
      </c>
      <c r="G709" s="1">
        <v>40.94</v>
      </c>
      <c r="H709" s="1">
        <v>5</v>
      </c>
      <c r="I709" s="17">
        <f t="shared" si="11"/>
        <v>116.67899999999999</v>
      </c>
      <c r="J709" s="1">
        <f>VLOOKUP(B709,'NOVACART DATA'!$B$2:$N$1001,13,FALSE)</f>
        <v>0</v>
      </c>
    </row>
    <row r="710" spans="1:10">
      <c r="A710" s="2">
        <f>VLOOKUP(B710,CHOOSE({1,2},'NOVACART DATA'!$B$2:$B$1001,'NOVACART DATA'!$A$2:$A$1001),2,FALSE)</f>
        <v>46015</v>
      </c>
      <c r="B710" s="1">
        <v>1320</v>
      </c>
      <c r="C710" s="1">
        <f>VLOOKUP(B710,'NOVACART DATA'!$B$2:$C$1000,2,FALSE)</f>
        <v>98</v>
      </c>
      <c r="D710" s="1">
        <v>27</v>
      </c>
      <c r="E710" s="1" t="str">
        <f>VLOOKUP(B710,'NOVACART DATA'!$B$2:$M$1001,5,FALSE)</f>
        <v>Organic</v>
      </c>
      <c r="F710" s="1">
        <v>1</v>
      </c>
      <c r="G710" s="1">
        <v>27.3</v>
      </c>
      <c r="H710" s="1">
        <v>10</v>
      </c>
      <c r="I710" s="17">
        <f t="shared" si="11"/>
        <v>24.57</v>
      </c>
      <c r="J710" s="1">
        <f>VLOOKUP(B710,'NOVACART DATA'!$B$2:$N$1001,13,FALSE)</f>
        <v>0</v>
      </c>
    </row>
    <row r="711" spans="1:10">
      <c r="A711" s="2">
        <f>VLOOKUP(B711,CHOOSE({1,2},'NOVACART DATA'!$B$2:$B$1001,'NOVACART DATA'!$A$2:$A$1001),2,FALSE)</f>
        <v>46021</v>
      </c>
      <c r="B711" s="1">
        <v>1359</v>
      </c>
      <c r="C711" s="1">
        <f>VLOOKUP(B711,'NOVACART DATA'!$B$2:$C$1000,2,FALSE)</f>
        <v>98</v>
      </c>
      <c r="D711" s="1">
        <v>9</v>
      </c>
      <c r="E711" s="1" t="str">
        <f>VLOOKUP(B711,'NOVACART DATA'!$B$2:$M$1001,5,FALSE)</f>
        <v>Organic</v>
      </c>
      <c r="F711" s="1">
        <v>1</v>
      </c>
      <c r="G711" s="1">
        <v>20.69</v>
      </c>
      <c r="H711" s="1">
        <v>5</v>
      </c>
      <c r="I711" s="17">
        <f t="shared" si="11"/>
        <v>19.6555</v>
      </c>
      <c r="J711" s="1">
        <f>VLOOKUP(B711,'NOVACART DATA'!$B$2:$N$1001,13,FALSE)</f>
        <v>1</v>
      </c>
    </row>
    <row r="712" spans="1:10">
      <c r="A712" s="2">
        <f>VLOOKUP(B712,CHOOSE({1,2},'NOVACART DATA'!$B$2:$B$1001,'NOVACART DATA'!$A$2:$A$1001),2,FALSE)</f>
        <v>46174</v>
      </c>
      <c r="B712" s="1">
        <v>1374</v>
      </c>
      <c r="C712" s="1">
        <f>VLOOKUP(B712,'NOVACART DATA'!$B$2:$C$1000,2,FALSE)</f>
        <v>98</v>
      </c>
      <c r="D712" s="1">
        <v>32</v>
      </c>
      <c r="E712" s="1" t="str">
        <f>VLOOKUP(B712,'NOVACART DATA'!$B$2:$M$1001,5,FALSE)</f>
        <v>Organic</v>
      </c>
      <c r="F712" s="1">
        <v>1</v>
      </c>
      <c r="G712" s="1">
        <v>61.06</v>
      </c>
      <c r="H712" s="1">
        <v>10</v>
      </c>
      <c r="I712" s="17">
        <f t="shared" si="11"/>
        <v>54.954000000000001</v>
      </c>
      <c r="J712" s="1">
        <f>VLOOKUP(B712,'NOVACART DATA'!$B$2:$N$1001,13,FALSE)</f>
        <v>0</v>
      </c>
    </row>
    <row r="713" spans="1:10">
      <c r="A713" s="2">
        <f>VLOOKUP(B713,CHOOSE({1,2},'NOVACART DATA'!$B$2:$B$1001,'NOVACART DATA'!$A$2:$A$1001),2,FALSE)</f>
        <v>46041</v>
      </c>
      <c r="B713" s="1">
        <v>1418</v>
      </c>
      <c r="C713" s="1">
        <f>VLOOKUP(B713,'NOVACART DATA'!$B$2:$C$1000,2,FALSE)</f>
        <v>98</v>
      </c>
      <c r="D713" s="1">
        <v>9</v>
      </c>
      <c r="E713" s="1" t="str">
        <f>VLOOKUP(B713,'NOVACART DATA'!$B$2:$M$1001,5,FALSE)</f>
        <v>Organic</v>
      </c>
      <c r="F713" s="1">
        <v>1</v>
      </c>
      <c r="G713" s="1">
        <v>20.69</v>
      </c>
      <c r="H713" s="1">
        <v>25</v>
      </c>
      <c r="I713" s="17">
        <f t="shared" si="11"/>
        <v>15.517500000000002</v>
      </c>
      <c r="J713" s="1">
        <f>VLOOKUP(B713,'NOVACART DATA'!$B$2:$N$1001,13,FALSE)</f>
        <v>0</v>
      </c>
    </row>
    <row r="714" spans="1:10">
      <c r="A714" s="2">
        <f>VLOOKUP(B714,CHOOSE({1,2},'NOVACART DATA'!$B$2:$B$1001,'NOVACART DATA'!$A$2:$A$1001),2,FALSE)</f>
        <v>46052</v>
      </c>
      <c r="B714" s="1">
        <v>1441</v>
      </c>
      <c r="C714" s="1">
        <f>VLOOKUP(B714,'NOVACART DATA'!$B$2:$C$1000,2,FALSE)</f>
        <v>98</v>
      </c>
      <c r="D714" s="1">
        <v>39</v>
      </c>
      <c r="E714" s="1" t="str">
        <f>VLOOKUP(B714,'NOVACART DATA'!$B$2:$M$1001,5,FALSE)</f>
        <v>Organic</v>
      </c>
      <c r="F714" s="1">
        <v>1</v>
      </c>
      <c r="G714" s="1">
        <v>39.979999999999997</v>
      </c>
      <c r="H714" s="1">
        <v>0</v>
      </c>
      <c r="I714" s="17">
        <f t="shared" si="11"/>
        <v>39.979999999999997</v>
      </c>
      <c r="J714" s="1">
        <f>VLOOKUP(B714,'NOVACART DATA'!$B$2:$N$1001,13,FALSE)</f>
        <v>0</v>
      </c>
    </row>
    <row r="715" spans="1:10">
      <c r="A715" s="2">
        <f>VLOOKUP(B715,CHOOSE({1,2},'NOVACART DATA'!$B$2:$B$1001,'NOVACART DATA'!$A$2:$A$1001),2,FALSE)</f>
        <v>46052</v>
      </c>
      <c r="B715" s="1">
        <v>1441</v>
      </c>
      <c r="C715" s="1">
        <f>VLOOKUP(B715,'NOVACART DATA'!$B$2:$C$1000,2,FALSE)</f>
        <v>98</v>
      </c>
      <c r="D715" s="1">
        <v>17</v>
      </c>
      <c r="E715" s="1" t="str">
        <f>VLOOKUP(B715,'NOVACART DATA'!$B$2:$M$1001,5,FALSE)</f>
        <v>Organic</v>
      </c>
      <c r="F715" s="1">
        <v>3</v>
      </c>
      <c r="G715" s="1">
        <v>6.61</v>
      </c>
      <c r="H715" s="1">
        <v>5</v>
      </c>
      <c r="I715" s="17">
        <f t="shared" si="11"/>
        <v>18.8385</v>
      </c>
      <c r="J715" s="1">
        <f>VLOOKUP(B715,'NOVACART DATA'!$B$2:$N$1001,13,FALSE)</f>
        <v>0</v>
      </c>
    </row>
    <row r="716" spans="1:10">
      <c r="A716" s="2">
        <f>VLOOKUP(B716,CHOOSE({1,2},'NOVACART DATA'!$B$2:$B$1001,'NOVACART DATA'!$A$2:$A$1001),2,FALSE)</f>
        <v>46024</v>
      </c>
      <c r="B716" s="1">
        <v>1446</v>
      </c>
      <c r="C716" s="1">
        <f>VLOOKUP(B716,'NOVACART DATA'!$B$2:$C$1000,2,FALSE)</f>
        <v>98</v>
      </c>
      <c r="D716" s="1">
        <v>33</v>
      </c>
      <c r="E716" s="1" t="str">
        <f>VLOOKUP(B716,'NOVACART DATA'!$B$2:$M$1001,5,FALSE)</f>
        <v>Organic</v>
      </c>
      <c r="F716" s="1">
        <v>1</v>
      </c>
      <c r="G716" s="1">
        <v>40.94</v>
      </c>
      <c r="H716" s="1">
        <v>5.5</v>
      </c>
      <c r="I716" s="17">
        <f t="shared" si="11"/>
        <v>38.688299999999998</v>
      </c>
      <c r="J716" s="1">
        <f>VLOOKUP(B716,'NOVACART DATA'!$B$2:$N$1001,13,FALSE)</f>
        <v>0</v>
      </c>
    </row>
    <row r="717" spans="1:10">
      <c r="A717" s="2">
        <f>VLOOKUP(B717,CHOOSE({1,2},'NOVACART DATA'!$B$2:$B$1001,'NOVACART DATA'!$A$2:$A$1001),2,FALSE)</f>
        <v>46071</v>
      </c>
      <c r="B717" s="1">
        <v>1498</v>
      </c>
      <c r="C717" s="1">
        <f>VLOOKUP(B717,'NOVACART DATA'!$B$2:$C$1000,2,FALSE)</f>
        <v>98</v>
      </c>
      <c r="D717" s="1">
        <v>4</v>
      </c>
      <c r="E717" s="1" t="str">
        <f>VLOOKUP(B717,'NOVACART DATA'!$B$2:$M$1001,5,FALSE)</f>
        <v>Organic</v>
      </c>
      <c r="F717" s="1">
        <v>1</v>
      </c>
      <c r="G717" s="1">
        <v>34.83</v>
      </c>
      <c r="H717" s="1">
        <v>10</v>
      </c>
      <c r="I717" s="17">
        <f t="shared" si="11"/>
        <v>31.346999999999998</v>
      </c>
      <c r="J717" s="1">
        <f>VLOOKUP(B717,'NOVACART DATA'!$B$2:$N$1001,13,FALSE)</f>
        <v>0</v>
      </c>
    </row>
    <row r="718" spans="1:10">
      <c r="A718" s="2">
        <f>VLOOKUP(B718,CHOOSE({1,2},'NOVACART DATA'!$B$2:$B$1001,'NOVACART DATA'!$A$2:$A$1001),2,FALSE)</f>
        <v>46073</v>
      </c>
      <c r="B718" s="1">
        <v>1510</v>
      </c>
      <c r="C718" s="1">
        <f>VLOOKUP(B718,'NOVACART DATA'!$B$2:$C$1000,2,FALSE)</f>
        <v>98</v>
      </c>
      <c r="D718" s="1">
        <v>14</v>
      </c>
      <c r="E718" s="1" t="str">
        <f>VLOOKUP(B718,'NOVACART DATA'!$B$2:$M$1001,5,FALSE)</f>
        <v>Organic</v>
      </c>
      <c r="F718" s="1">
        <v>1</v>
      </c>
      <c r="G718" s="1">
        <v>15.36</v>
      </c>
      <c r="H718" s="1">
        <v>5</v>
      </c>
      <c r="I718" s="17">
        <f t="shared" si="11"/>
        <v>14.591999999999999</v>
      </c>
      <c r="J718" s="1">
        <f>VLOOKUP(B718,'NOVACART DATA'!$B$2:$N$1001,13,FALSE)</f>
        <v>0</v>
      </c>
    </row>
    <row r="719" spans="1:10">
      <c r="A719" s="2">
        <f>VLOOKUP(B719,CHOOSE({1,2},'NOVACART DATA'!$B$2:$B$1001,'NOVACART DATA'!$A$2:$A$1001),2,FALSE)</f>
        <v>46073</v>
      </c>
      <c r="B719" s="1">
        <v>1510</v>
      </c>
      <c r="C719" s="1">
        <f>VLOOKUP(B719,'NOVACART DATA'!$B$2:$C$1000,2,FALSE)</f>
        <v>98</v>
      </c>
      <c r="D719" s="1">
        <v>37</v>
      </c>
      <c r="E719" s="1" t="str">
        <f>VLOOKUP(B719,'NOVACART DATA'!$B$2:$M$1001,5,FALSE)</f>
        <v>Organic</v>
      </c>
      <c r="F719" s="1">
        <v>1</v>
      </c>
      <c r="G719" s="1">
        <v>52.67</v>
      </c>
      <c r="H719" s="1">
        <v>0</v>
      </c>
      <c r="I719" s="17">
        <f t="shared" si="11"/>
        <v>52.67</v>
      </c>
      <c r="J719" s="1">
        <f>VLOOKUP(B719,'NOVACART DATA'!$B$2:$N$1001,13,FALSE)</f>
        <v>0</v>
      </c>
    </row>
    <row r="720" spans="1:10">
      <c r="A720" s="2">
        <f>VLOOKUP(B720,CHOOSE({1,2},'NOVACART DATA'!$B$2:$B$1001,'NOVACART DATA'!$A$2:$A$1001),2,FALSE)</f>
        <v>46075</v>
      </c>
      <c r="B720" s="1">
        <v>1521</v>
      </c>
      <c r="C720" s="1">
        <f>VLOOKUP(B720,'NOVACART DATA'!$B$2:$C$1000,2,FALSE)</f>
        <v>98</v>
      </c>
      <c r="D720" s="1">
        <v>8</v>
      </c>
      <c r="E720" s="1" t="str">
        <f>VLOOKUP(B720,'NOVACART DATA'!$B$2:$M$1001,5,FALSE)</f>
        <v>Organic</v>
      </c>
      <c r="F720" s="1">
        <v>3</v>
      </c>
      <c r="G720" s="1">
        <v>16.72</v>
      </c>
      <c r="H720" s="1">
        <v>5.5</v>
      </c>
      <c r="I720" s="17">
        <f t="shared" si="11"/>
        <v>47.401199999999996</v>
      </c>
      <c r="J720" s="1">
        <f>VLOOKUP(B720,'NOVACART DATA'!$B$2:$N$1001,13,FALSE)</f>
        <v>0</v>
      </c>
    </row>
    <row r="721" spans="1:10">
      <c r="A721" s="2">
        <f>VLOOKUP(B721,CHOOSE({1,2},'NOVACART DATA'!$B$2:$B$1001,'NOVACART DATA'!$A$2:$A$1001),2,FALSE)</f>
        <v>46076</v>
      </c>
      <c r="B721" s="1">
        <v>1525</v>
      </c>
      <c r="C721" s="1">
        <f>VLOOKUP(B721,'NOVACART DATA'!$B$2:$C$1000,2,FALSE)</f>
        <v>98</v>
      </c>
      <c r="D721" s="1">
        <v>33</v>
      </c>
      <c r="E721" s="1" t="str">
        <f>VLOOKUP(B721,'NOVACART DATA'!$B$2:$M$1001,5,FALSE)</f>
        <v>Organic</v>
      </c>
      <c r="F721" s="1">
        <v>1</v>
      </c>
      <c r="G721" s="1">
        <v>40.94</v>
      </c>
      <c r="H721" s="1">
        <v>0</v>
      </c>
      <c r="I721" s="17">
        <f t="shared" si="11"/>
        <v>40.94</v>
      </c>
      <c r="J721" s="1">
        <f>VLOOKUP(B721,'NOVACART DATA'!$B$2:$N$1001,13,FALSE)</f>
        <v>0</v>
      </c>
    </row>
    <row r="722" spans="1:10">
      <c r="A722" s="2">
        <f>VLOOKUP(B722,CHOOSE({1,2},'NOVACART DATA'!$B$2:$B$1001,'NOVACART DATA'!$A$2:$A$1001),2,FALSE)</f>
        <v>45947</v>
      </c>
      <c r="B722" s="1">
        <v>1019</v>
      </c>
      <c r="C722" s="1">
        <f>VLOOKUP(B722,'NOVACART DATA'!$B$2:$C$1000,2,FALSE)</f>
        <v>98</v>
      </c>
      <c r="D722" s="1">
        <v>36</v>
      </c>
      <c r="E722" s="1" t="str">
        <f>VLOOKUP(B722,'NOVACART DATA'!$B$2:$M$1001,5,FALSE)</f>
        <v>Organic</v>
      </c>
      <c r="F722" s="1">
        <v>1</v>
      </c>
      <c r="G722" s="1">
        <v>23.23</v>
      </c>
      <c r="H722" s="1">
        <v>0</v>
      </c>
      <c r="I722" s="17">
        <f t="shared" si="11"/>
        <v>23.23</v>
      </c>
      <c r="J722" s="1">
        <f>VLOOKUP(B722,'NOVACART DATA'!$B$2:$N$1001,13,FALSE)</f>
        <v>0</v>
      </c>
    </row>
    <row r="723" spans="1:10">
      <c r="A723" s="2">
        <f>VLOOKUP(B723,CHOOSE({1,2},'NOVACART DATA'!$B$2:$B$1001,'NOVACART DATA'!$A$2:$A$1001),2,FALSE)</f>
        <v>45985</v>
      </c>
      <c r="B723" s="1">
        <v>1044</v>
      </c>
      <c r="C723" s="1">
        <f>VLOOKUP(B723,'NOVACART DATA'!$B$2:$C$1000,2,FALSE)</f>
        <v>5</v>
      </c>
      <c r="D723" s="1">
        <v>26</v>
      </c>
      <c r="E723" s="1" t="str">
        <f>VLOOKUP(B723,'NOVACART DATA'!$B$2:$M$1001,5,FALSE)</f>
        <v>Email</v>
      </c>
      <c r="F723" s="1">
        <v>1</v>
      </c>
      <c r="G723" s="1">
        <v>31.76</v>
      </c>
      <c r="H723" s="1">
        <v>25</v>
      </c>
      <c r="I723" s="17">
        <f t="shared" si="11"/>
        <v>23.82</v>
      </c>
      <c r="J723" s="1">
        <f>VLOOKUP(B723,'NOVACART DATA'!$B$2:$N$1001,13,FALSE)</f>
        <v>0</v>
      </c>
    </row>
    <row r="724" spans="1:10">
      <c r="A724" s="2">
        <f>VLOOKUP(B724,CHOOSE({1,2},'NOVACART DATA'!$B$2:$B$1001,'NOVACART DATA'!$A$2:$A$1001),2,FALSE)</f>
        <v>45949</v>
      </c>
      <c r="B724" s="1">
        <v>1032</v>
      </c>
      <c r="C724" s="1">
        <f>VLOOKUP(B724,'NOVACART DATA'!$B$2:$C$1000,2,FALSE)</f>
        <v>99</v>
      </c>
      <c r="D724" s="1">
        <v>8</v>
      </c>
      <c r="E724" s="1" t="str">
        <f>VLOOKUP(B724,'NOVACART DATA'!$B$2:$M$1001,5,FALSE)</f>
        <v>Referral</v>
      </c>
      <c r="F724" s="1">
        <v>3</v>
      </c>
      <c r="G724" s="1">
        <v>16.72</v>
      </c>
      <c r="H724" s="1">
        <v>25</v>
      </c>
      <c r="I724" s="17">
        <f t="shared" si="11"/>
        <v>37.619999999999997</v>
      </c>
      <c r="J724" s="1">
        <f>VLOOKUP(B724,'NOVACART DATA'!$B$2:$N$1001,13,FALSE)</f>
        <v>0</v>
      </c>
    </row>
    <row r="725" spans="1:10">
      <c r="A725" s="2">
        <f>VLOOKUP(B725,CHOOSE({1,2},'NOVACART DATA'!$B$2:$B$1001,'NOVACART DATA'!$A$2:$A$1001),2,FALSE)</f>
        <v>45758</v>
      </c>
      <c r="B725" s="1">
        <v>1078</v>
      </c>
      <c r="C725" s="1">
        <f>VLOOKUP(B725,'NOVACART DATA'!$B$2:$C$1000,2,FALSE)</f>
        <v>99</v>
      </c>
      <c r="D725" s="1">
        <v>21</v>
      </c>
      <c r="E725" s="1" t="str">
        <f>VLOOKUP(B725,'NOVACART DATA'!$B$2:$M$1001,5,FALSE)</f>
        <v>Referral</v>
      </c>
      <c r="F725" s="1">
        <v>1</v>
      </c>
      <c r="G725" s="1">
        <v>49.37</v>
      </c>
      <c r="H725" s="1">
        <v>20</v>
      </c>
      <c r="I725" s="17">
        <f t="shared" si="11"/>
        <v>39.496000000000002</v>
      </c>
      <c r="J725" s="1">
        <f>VLOOKUP(B725,'NOVACART DATA'!$B$2:$N$1001,13,FALSE)</f>
        <v>0</v>
      </c>
    </row>
    <row r="726" spans="1:10">
      <c r="A726" s="2">
        <f>VLOOKUP(B726,CHOOSE({1,2},'NOVACART DATA'!$B$2:$B$1001,'NOVACART DATA'!$A$2:$A$1001),2,FALSE)</f>
        <v>45973</v>
      </c>
      <c r="B726" s="1">
        <v>1259</v>
      </c>
      <c r="C726" s="1">
        <f>VLOOKUP(B726,'NOVACART DATA'!$B$2:$C$1000,2,FALSE)</f>
        <v>99</v>
      </c>
      <c r="D726" s="1">
        <v>12</v>
      </c>
      <c r="E726" s="1" t="str">
        <f>VLOOKUP(B726,'NOVACART DATA'!$B$2:$M$1001,5,FALSE)</f>
        <v>Referral</v>
      </c>
      <c r="F726" s="1">
        <v>1</v>
      </c>
      <c r="G726" s="1">
        <v>8.4499999999999993</v>
      </c>
      <c r="H726" s="1">
        <v>0</v>
      </c>
      <c r="I726" s="17">
        <f t="shared" si="11"/>
        <v>8.4499999999999993</v>
      </c>
      <c r="J726" s="1">
        <f>VLOOKUP(B726,'NOVACART DATA'!$B$2:$N$1001,13,FALSE)</f>
        <v>0</v>
      </c>
    </row>
    <row r="727" spans="1:10">
      <c r="A727" s="2">
        <f>VLOOKUP(B727,CHOOSE({1,2},'NOVACART DATA'!$B$2:$B$1001,'NOVACART DATA'!$A$2:$A$1001),2,FALSE)</f>
        <v>45973</v>
      </c>
      <c r="B727" s="1">
        <v>1259</v>
      </c>
      <c r="C727" s="1">
        <f>VLOOKUP(B727,'NOVACART DATA'!$B$2:$C$1000,2,FALSE)</f>
        <v>99</v>
      </c>
      <c r="D727" s="1">
        <v>13</v>
      </c>
      <c r="E727" s="1" t="str">
        <f>VLOOKUP(B727,'NOVACART DATA'!$B$2:$M$1001,5,FALSE)</f>
        <v>Referral</v>
      </c>
      <c r="F727" s="1">
        <v>1</v>
      </c>
      <c r="G727" s="1">
        <v>54.9</v>
      </c>
      <c r="H727" s="1">
        <v>0</v>
      </c>
      <c r="I727" s="17">
        <f t="shared" si="11"/>
        <v>54.9</v>
      </c>
      <c r="J727" s="1">
        <f>VLOOKUP(B727,'NOVACART DATA'!$B$2:$N$1001,13,FALSE)</f>
        <v>0</v>
      </c>
    </row>
    <row r="728" spans="1:10">
      <c r="A728" s="2">
        <f>VLOOKUP(B728,CHOOSE({1,2},'NOVACART DATA'!$B$2:$B$1001,'NOVACART DATA'!$A$2:$A$1001),2,FALSE)</f>
        <v>45973</v>
      </c>
      <c r="B728" s="1">
        <v>1259</v>
      </c>
      <c r="C728" s="1">
        <f>VLOOKUP(B728,'NOVACART DATA'!$B$2:$C$1000,2,FALSE)</f>
        <v>99</v>
      </c>
      <c r="D728" s="1">
        <v>8</v>
      </c>
      <c r="E728" s="1" t="str">
        <f>VLOOKUP(B728,'NOVACART DATA'!$B$2:$M$1001,5,FALSE)</f>
        <v>Referral</v>
      </c>
      <c r="F728" s="1">
        <v>1</v>
      </c>
      <c r="G728" s="1">
        <v>16.72</v>
      </c>
      <c r="H728" s="1">
        <v>10</v>
      </c>
      <c r="I728" s="17">
        <f t="shared" si="11"/>
        <v>15.048</v>
      </c>
      <c r="J728" s="1">
        <f>VLOOKUP(B728,'NOVACART DATA'!$B$2:$N$1001,13,FALSE)</f>
        <v>0</v>
      </c>
    </row>
    <row r="729" spans="1:10">
      <c r="A729" s="2">
        <f>VLOOKUP(B729,CHOOSE({1,2},'NOVACART DATA'!$B$2:$B$1001,'NOVACART DATA'!$A$2:$A$1001),2,FALSE)</f>
        <v>46008</v>
      </c>
      <c r="B729" s="1">
        <v>1290</v>
      </c>
      <c r="C729" s="1">
        <f>VLOOKUP(B729,'NOVACART DATA'!$B$2:$C$1000,2,FALSE)</f>
        <v>99</v>
      </c>
      <c r="D729" s="1">
        <v>15</v>
      </c>
      <c r="E729" s="1" t="str">
        <f>VLOOKUP(B729,'NOVACART DATA'!$B$2:$M$1001,5,FALSE)</f>
        <v>Referral</v>
      </c>
      <c r="F729" s="1">
        <v>1</v>
      </c>
      <c r="G729" s="1">
        <v>47.71</v>
      </c>
      <c r="H729" s="1">
        <v>10</v>
      </c>
      <c r="I729" s="17">
        <f t="shared" si="11"/>
        <v>42.939</v>
      </c>
      <c r="J729" s="1">
        <f>VLOOKUP(B729,'NOVACART DATA'!$B$2:$N$1001,13,FALSE)</f>
        <v>0</v>
      </c>
    </row>
    <row r="730" spans="1:10">
      <c r="A730" s="2">
        <f>VLOOKUP(B730,CHOOSE({1,2},'NOVACART DATA'!$B$2:$B$1001,'NOVACART DATA'!$A$2:$A$1001),2,FALSE)</f>
        <v>46008</v>
      </c>
      <c r="B730" s="1">
        <v>1290</v>
      </c>
      <c r="C730" s="1">
        <f>VLOOKUP(B730,'NOVACART DATA'!$B$2:$C$1000,2,FALSE)</f>
        <v>99</v>
      </c>
      <c r="D730" s="1">
        <v>14</v>
      </c>
      <c r="E730" s="1" t="str">
        <f>VLOOKUP(B730,'NOVACART DATA'!$B$2:$M$1001,5,FALSE)</f>
        <v>Referral</v>
      </c>
      <c r="F730" s="1">
        <v>1</v>
      </c>
      <c r="G730" s="1">
        <v>15.36</v>
      </c>
      <c r="H730" s="1">
        <v>0</v>
      </c>
      <c r="I730" s="17">
        <f t="shared" si="11"/>
        <v>15.36</v>
      </c>
      <c r="J730" s="1">
        <f>VLOOKUP(B730,'NOVACART DATA'!$B$2:$N$1001,13,FALSE)</f>
        <v>0</v>
      </c>
    </row>
    <row r="731" spans="1:10">
      <c r="A731" s="2">
        <f>VLOOKUP(B731,CHOOSE({1,2},'NOVACART DATA'!$B$2:$B$1001,'NOVACART DATA'!$A$2:$A$1001),2,FALSE)</f>
        <v>46008</v>
      </c>
      <c r="B731" s="1">
        <v>1290</v>
      </c>
      <c r="C731" s="1">
        <f>VLOOKUP(B731,'NOVACART DATA'!$B$2:$C$1000,2,FALSE)</f>
        <v>99</v>
      </c>
      <c r="D731" s="1">
        <v>6</v>
      </c>
      <c r="E731" s="1" t="str">
        <f>VLOOKUP(B731,'NOVACART DATA'!$B$2:$M$1001,5,FALSE)</f>
        <v>Referral</v>
      </c>
      <c r="F731" s="1">
        <v>1</v>
      </c>
      <c r="G731" s="1">
        <v>70.47</v>
      </c>
      <c r="H731" s="1">
        <v>5</v>
      </c>
      <c r="I731" s="17">
        <f t="shared" si="11"/>
        <v>66.9465</v>
      </c>
      <c r="J731" s="1">
        <f>VLOOKUP(B731,'NOVACART DATA'!$B$2:$N$1001,13,FALSE)</f>
        <v>0</v>
      </c>
    </row>
    <row r="732" spans="1:10">
      <c r="A732" s="2">
        <f>VLOOKUP(B732,CHOOSE({1,2},'NOVACART DATA'!$B$2:$B$1001,'NOVACART DATA'!$A$2:$A$1001),2,FALSE)</f>
        <v>46044</v>
      </c>
      <c r="B732" s="1">
        <v>1421</v>
      </c>
      <c r="C732" s="1">
        <f>VLOOKUP(B732,'NOVACART DATA'!$B$2:$C$1000,2,FALSE)</f>
        <v>99</v>
      </c>
      <c r="D732" s="1">
        <v>10</v>
      </c>
      <c r="E732" s="1" t="str">
        <f>VLOOKUP(B732,'NOVACART DATA'!$B$2:$M$1001,5,FALSE)</f>
        <v>Referral</v>
      </c>
      <c r="F732" s="1">
        <v>1</v>
      </c>
      <c r="G732" s="1">
        <v>62.68</v>
      </c>
      <c r="H732" s="1">
        <v>0</v>
      </c>
      <c r="I732" s="17">
        <f t="shared" si="11"/>
        <v>62.68</v>
      </c>
      <c r="J732" s="1">
        <f>VLOOKUP(B732,'NOVACART DATA'!$B$2:$N$1001,13,FALSE)</f>
        <v>0</v>
      </c>
    </row>
    <row r="733" spans="1:10">
      <c r="A733" s="2">
        <f>VLOOKUP(B733,CHOOSE({1,2},'NOVACART DATA'!$B$2:$B$1001,'NOVACART DATA'!$A$2:$A$1001),2,FALSE)</f>
        <v>46076</v>
      </c>
      <c r="B733" s="1">
        <v>1526</v>
      </c>
      <c r="C733" s="1">
        <f>VLOOKUP(B733,'NOVACART DATA'!$B$2:$C$1000,2,FALSE)</f>
        <v>99</v>
      </c>
      <c r="D733" s="1">
        <v>33</v>
      </c>
      <c r="E733" s="1" t="str">
        <f>VLOOKUP(B733,'NOVACART DATA'!$B$2:$M$1001,5,FALSE)</f>
        <v>Referral</v>
      </c>
      <c r="F733" s="1">
        <v>1</v>
      </c>
      <c r="G733" s="1">
        <v>40.94</v>
      </c>
      <c r="H733" s="1">
        <v>0</v>
      </c>
      <c r="I733" s="17">
        <f t="shared" si="11"/>
        <v>40.94</v>
      </c>
      <c r="J733" s="1">
        <f>VLOOKUP(B733,'NOVACART DATA'!$B$2:$N$1001,13,FALSE)</f>
        <v>0</v>
      </c>
    </row>
    <row r="734" spans="1:10">
      <c r="A734" s="2">
        <f>VLOOKUP(B734,CHOOSE({1,2},'NOVACART DATA'!$B$2:$B$1001,'NOVACART DATA'!$A$2:$A$1001),2,FALSE)</f>
        <v>45949</v>
      </c>
      <c r="B734" s="1">
        <v>1032</v>
      </c>
      <c r="C734" s="1">
        <f>VLOOKUP(B734,'NOVACART DATA'!$B$2:$C$1000,2,FALSE)</f>
        <v>99</v>
      </c>
      <c r="D734" s="1">
        <v>1</v>
      </c>
      <c r="E734" s="1" t="str">
        <f>VLOOKUP(B734,'NOVACART DATA'!$B$2:$M$1001,5,FALSE)</f>
        <v>Referral</v>
      </c>
      <c r="F734" s="1">
        <v>1</v>
      </c>
      <c r="G734" s="1">
        <v>47.45</v>
      </c>
      <c r="H734" s="1">
        <v>20</v>
      </c>
      <c r="I734" s="17">
        <f t="shared" si="11"/>
        <v>37.96</v>
      </c>
      <c r="J734" s="1">
        <f>VLOOKUP(B734,'NOVACART DATA'!$B$2:$N$1001,13,FALSE)</f>
        <v>0</v>
      </c>
    </row>
    <row r="735" spans="1:10">
      <c r="A735" s="2">
        <f>VLOOKUP(B735,CHOOSE({1,2},'NOVACART DATA'!$B$2:$B$1001,'NOVACART DATA'!$A$2:$A$1001),2,FALSE)</f>
        <v>45946</v>
      </c>
      <c r="B735" s="1">
        <v>1016</v>
      </c>
      <c r="C735" s="1">
        <f>VLOOKUP(B735,'NOVACART DATA'!$B$2:$C$1000,2,FALSE)</f>
        <v>100</v>
      </c>
      <c r="D735" s="1">
        <v>15</v>
      </c>
      <c r="E735" s="1" t="str">
        <f>VLOOKUP(B735,'NOVACART DATA'!$B$2:$M$1001,5,FALSE)</f>
        <v>Email</v>
      </c>
      <c r="F735" s="1">
        <v>1</v>
      </c>
      <c r="G735" s="1">
        <v>47.71</v>
      </c>
      <c r="H735" s="1">
        <v>10</v>
      </c>
      <c r="I735" s="17">
        <f t="shared" si="11"/>
        <v>42.939</v>
      </c>
      <c r="J735" s="1">
        <f>VLOOKUP(B735,'NOVACART DATA'!$B$2:$N$1001,13,FALSE)</f>
        <v>0</v>
      </c>
    </row>
    <row r="736" spans="1:10">
      <c r="A736" s="2">
        <f>VLOOKUP(B736,CHOOSE({1,2},'NOVACART DATA'!$B$2:$B$1001,'NOVACART DATA'!$A$2:$A$1001),2,FALSE)</f>
        <v>45951</v>
      </c>
      <c r="B736" s="1">
        <v>1040</v>
      </c>
      <c r="C736" s="1">
        <f>VLOOKUP(B736,'NOVACART DATA'!$B$2:$C$1000,2,FALSE)</f>
        <v>100</v>
      </c>
      <c r="D736" s="1">
        <v>25</v>
      </c>
      <c r="E736" s="1" t="str">
        <f>VLOOKUP(B736,'NOVACART DATA'!$B$2:$M$1001,5,FALSE)</f>
        <v>Email</v>
      </c>
      <c r="F736" s="1">
        <v>2</v>
      </c>
      <c r="G736" s="1">
        <v>17.78</v>
      </c>
      <c r="H736" s="1">
        <v>5</v>
      </c>
      <c r="I736" s="17">
        <f t="shared" si="11"/>
        <v>33.782000000000004</v>
      </c>
      <c r="J736" s="1">
        <f>VLOOKUP(B736,'NOVACART DATA'!$B$2:$N$1001,13,FALSE)</f>
        <v>0</v>
      </c>
    </row>
    <row r="737" spans="1:10">
      <c r="A737" s="2">
        <f>VLOOKUP(B737,CHOOSE({1,2},'NOVACART DATA'!$B$2:$B$1001,'NOVACART DATA'!$A$2:$A$1001),2,FALSE)</f>
        <v>45911</v>
      </c>
      <c r="B737" s="1">
        <v>1101</v>
      </c>
      <c r="C737" s="1">
        <f>VLOOKUP(B737,'NOVACART DATA'!$B$2:$C$1000,2,FALSE)</f>
        <v>100</v>
      </c>
      <c r="D737" s="1">
        <v>39</v>
      </c>
      <c r="E737" s="1" t="str">
        <f>VLOOKUP(B737,'NOVACART DATA'!$B$2:$M$1001,5,FALSE)</f>
        <v>Email</v>
      </c>
      <c r="F737" s="1">
        <v>1</v>
      </c>
      <c r="G737" s="1">
        <v>39.979999999999997</v>
      </c>
      <c r="H737" s="1">
        <v>20</v>
      </c>
      <c r="I737" s="17">
        <f t="shared" si="11"/>
        <v>31.983999999999998</v>
      </c>
      <c r="J737" s="1">
        <f>VLOOKUP(B737,'NOVACART DATA'!$B$2:$N$1001,13,FALSE)</f>
        <v>0</v>
      </c>
    </row>
    <row r="738" spans="1:10">
      <c r="A738" s="2">
        <f>VLOOKUP(B738,CHOOSE({1,2},'NOVACART DATA'!$B$2:$B$1001,'NOVACART DATA'!$A$2:$A$1001),2,FALSE)</f>
        <v>45911</v>
      </c>
      <c r="B738" s="1">
        <v>1101</v>
      </c>
      <c r="C738" s="1">
        <f>VLOOKUP(B738,'NOVACART DATA'!$B$2:$C$1000,2,FALSE)</f>
        <v>100</v>
      </c>
      <c r="D738" s="1">
        <v>2</v>
      </c>
      <c r="E738" s="1" t="str">
        <f>VLOOKUP(B738,'NOVACART DATA'!$B$2:$M$1001,5,FALSE)</f>
        <v>Email</v>
      </c>
      <c r="F738" s="1">
        <v>1</v>
      </c>
      <c r="G738" s="1">
        <v>64.02</v>
      </c>
      <c r="H738" s="1">
        <v>5.5</v>
      </c>
      <c r="I738" s="17">
        <f t="shared" si="11"/>
        <v>60.498899999999992</v>
      </c>
      <c r="J738" s="1">
        <f>VLOOKUP(B738,'NOVACART DATA'!$B$2:$N$1001,13,FALSE)</f>
        <v>0</v>
      </c>
    </row>
    <row r="739" spans="1:10">
      <c r="A739" s="2">
        <f>VLOOKUP(B739,CHOOSE({1,2},'NOVACART DATA'!$B$2:$B$1001,'NOVACART DATA'!$A$2:$A$1001),2,FALSE)</f>
        <v>45977</v>
      </c>
      <c r="B739" s="1">
        <v>1136</v>
      </c>
      <c r="C739" s="1">
        <f>VLOOKUP(B739,'NOVACART DATA'!$B$2:$C$1000,2,FALSE)</f>
        <v>100</v>
      </c>
      <c r="D739" s="1">
        <v>8</v>
      </c>
      <c r="E739" s="1" t="str">
        <f>VLOOKUP(B739,'NOVACART DATA'!$B$2:$M$1001,5,FALSE)</f>
        <v>Email</v>
      </c>
      <c r="F739" s="1">
        <v>1</v>
      </c>
      <c r="G739" s="1">
        <v>16.72</v>
      </c>
      <c r="H739" s="1">
        <v>10</v>
      </c>
      <c r="I739" s="17">
        <f t="shared" si="11"/>
        <v>15.048</v>
      </c>
      <c r="J739" s="1">
        <f>VLOOKUP(B739,'NOVACART DATA'!$B$2:$N$1001,13,FALSE)</f>
        <v>1</v>
      </c>
    </row>
    <row r="740" spans="1:10">
      <c r="A740" s="2">
        <f>VLOOKUP(B740,CHOOSE({1,2},'NOVACART DATA'!$B$2:$B$1001,'NOVACART DATA'!$A$2:$A$1001),2,FALSE)</f>
        <v>45979</v>
      </c>
      <c r="B740" s="1">
        <v>1147</v>
      </c>
      <c r="C740" s="1">
        <f>VLOOKUP(B740,'NOVACART DATA'!$B$2:$C$1000,2,FALSE)</f>
        <v>100</v>
      </c>
      <c r="D740" s="1">
        <v>12</v>
      </c>
      <c r="E740" s="1" t="str">
        <f>VLOOKUP(B740,'NOVACART DATA'!$B$2:$M$1001,5,FALSE)</f>
        <v>Email</v>
      </c>
      <c r="F740" s="1">
        <v>1</v>
      </c>
      <c r="G740" s="1">
        <v>8.4499999999999993</v>
      </c>
      <c r="H740" s="1">
        <v>0</v>
      </c>
      <c r="I740" s="17">
        <f t="shared" si="11"/>
        <v>8.4499999999999993</v>
      </c>
      <c r="J740" s="1">
        <f>VLOOKUP(B740,'NOVACART DATA'!$B$2:$N$1001,13,FALSE)</f>
        <v>0</v>
      </c>
    </row>
    <row r="741" spans="1:10">
      <c r="A741" s="2">
        <f>VLOOKUP(B741,CHOOSE({1,2},'NOVACART DATA'!$B$2:$B$1001,'NOVACART DATA'!$A$2:$A$1001),2,FALSE)</f>
        <v>45982</v>
      </c>
      <c r="B741" s="1">
        <v>1160</v>
      </c>
      <c r="C741" s="1">
        <f>VLOOKUP(B741,'NOVACART DATA'!$B$2:$C$1000,2,FALSE)</f>
        <v>100</v>
      </c>
      <c r="D741" s="1">
        <v>18</v>
      </c>
      <c r="E741" s="1" t="str">
        <f>VLOOKUP(B741,'NOVACART DATA'!$B$2:$M$1001,5,FALSE)</f>
        <v>Email</v>
      </c>
      <c r="F741" s="1">
        <v>1</v>
      </c>
      <c r="G741" s="1">
        <v>44.01</v>
      </c>
      <c r="H741" s="1">
        <v>10</v>
      </c>
      <c r="I741" s="17">
        <f t="shared" si="11"/>
        <v>39.609000000000002</v>
      </c>
      <c r="J741" s="1">
        <f>VLOOKUP(B741,'NOVACART DATA'!$B$2:$N$1001,13,FALSE)</f>
        <v>0</v>
      </c>
    </row>
    <row r="742" spans="1:10">
      <c r="A742" s="2">
        <f>VLOOKUP(B742,CHOOSE({1,2},'NOVACART DATA'!$B$2:$B$1001,'NOVACART DATA'!$A$2:$A$1001),2,FALSE)</f>
        <v>46016</v>
      </c>
      <c r="B742" s="1">
        <v>1169</v>
      </c>
      <c r="C742" s="1">
        <f>VLOOKUP(B742,'NOVACART DATA'!$B$2:$C$1000,2,FALSE)</f>
        <v>100</v>
      </c>
      <c r="D742" s="1">
        <v>18</v>
      </c>
      <c r="E742" s="1" t="str">
        <f>VLOOKUP(B742,'NOVACART DATA'!$B$2:$M$1001,5,FALSE)</f>
        <v>Email</v>
      </c>
      <c r="F742" s="1">
        <v>1</v>
      </c>
      <c r="G742" s="1">
        <v>44.01</v>
      </c>
      <c r="H742" s="1">
        <v>10</v>
      </c>
      <c r="I742" s="17">
        <f t="shared" si="11"/>
        <v>39.609000000000002</v>
      </c>
      <c r="J742" s="1">
        <f>VLOOKUP(B742,'NOVACART DATA'!$B$2:$N$1001,13,FALSE)</f>
        <v>0</v>
      </c>
    </row>
    <row r="743" spans="1:10">
      <c r="A743" s="2">
        <f>VLOOKUP(B743,CHOOSE({1,2},'NOVACART DATA'!$B$2:$B$1001,'NOVACART DATA'!$A$2:$A$1001),2,FALSE)</f>
        <v>46003</v>
      </c>
      <c r="B743" s="1">
        <v>1267</v>
      </c>
      <c r="C743" s="1">
        <f>VLOOKUP(B743,'NOVACART DATA'!$B$2:$C$1000,2,FALSE)</f>
        <v>100</v>
      </c>
      <c r="D743" s="1">
        <v>31</v>
      </c>
      <c r="E743" s="1" t="str">
        <f>VLOOKUP(B743,'NOVACART DATA'!$B$2:$M$1001,5,FALSE)</f>
        <v>Email</v>
      </c>
      <c r="F743" s="1">
        <v>1</v>
      </c>
      <c r="G743" s="1">
        <v>57.51</v>
      </c>
      <c r="H743" s="1">
        <v>5</v>
      </c>
      <c r="I743" s="17">
        <f t="shared" si="11"/>
        <v>54.634499999999996</v>
      </c>
      <c r="J743" s="1">
        <f>VLOOKUP(B743,'NOVACART DATA'!$B$2:$N$1001,13,FALSE)</f>
        <v>0</v>
      </c>
    </row>
    <row r="744" spans="1:10">
      <c r="A744" s="2">
        <f>VLOOKUP(B744,CHOOSE({1,2},'NOVACART DATA'!$B$2:$B$1001,'NOVACART DATA'!$A$2:$A$1001),2,FALSE)</f>
        <v>46010</v>
      </c>
      <c r="B744" s="1">
        <v>1300</v>
      </c>
      <c r="C744" s="1">
        <f>VLOOKUP(B744,'NOVACART DATA'!$B$2:$C$1000,2,FALSE)</f>
        <v>100</v>
      </c>
      <c r="D744" s="1">
        <v>19</v>
      </c>
      <c r="E744" s="1" t="str">
        <f>VLOOKUP(B744,'NOVACART DATA'!$B$2:$M$1001,5,FALSE)</f>
        <v>Email</v>
      </c>
      <c r="F744" s="1">
        <v>1</v>
      </c>
      <c r="G744" s="1">
        <v>50.14</v>
      </c>
      <c r="H744" s="1">
        <v>0</v>
      </c>
      <c r="I744" s="17">
        <f t="shared" si="11"/>
        <v>50.14</v>
      </c>
      <c r="J744" s="1">
        <f>VLOOKUP(B744,'NOVACART DATA'!$B$2:$N$1001,13,FALSE)</f>
        <v>0</v>
      </c>
    </row>
    <row r="745" spans="1:10">
      <c r="A745" s="2">
        <f>VLOOKUP(B745,CHOOSE({1,2},'NOVACART DATA'!$B$2:$B$1001,'NOVACART DATA'!$A$2:$A$1001),2,FALSE)</f>
        <v>46013</v>
      </c>
      <c r="B745" s="1">
        <v>1311</v>
      </c>
      <c r="C745" s="1">
        <f>VLOOKUP(B745,'NOVACART DATA'!$B$2:$C$1000,2,FALSE)</f>
        <v>100</v>
      </c>
      <c r="D745" s="1">
        <v>38</v>
      </c>
      <c r="E745" s="1" t="str">
        <f>VLOOKUP(B745,'NOVACART DATA'!$B$2:$M$1001,5,FALSE)</f>
        <v>Email</v>
      </c>
      <c r="F745" s="1">
        <v>1</v>
      </c>
      <c r="G745" s="1">
        <v>25.14</v>
      </c>
      <c r="H745" s="1">
        <v>15</v>
      </c>
      <c r="I745" s="17">
        <f t="shared" si="11"/>
        <v>21.369</v>
      </c>
      <c r="J745" s="1">
        <f>VLOOKUP(B745,'NOVACART DATA'!$B$2:$N$1001,13,FALSE)</f>
        <v>0</v>
      </c>
    </row>
    <row r="746" spans="1:10">
      <c r="A746" s="2">
        <f>VLOOKUP(B746,CHOOSE({1,2},'NOVACART DATA'!$B$2:$B$1001,'NOVACART DATA'!$A$2:$A$1001),2,FALSE)</f>
        <v>46016</v>
      </c>
      <c r="B746" s="1">
        <v>1327</v>
      </c>
      <c r="C746" s="1">
        <f>VLOOKUP(B746,'NOVACART DATA'!$B$2:$C$1000,2,FALSE)</f>
        <v>100</v>
      </c>
      <c r="D746" s="1">
        <v>18</v>
      </c>
      <c r="E746" s="1" t="str">
        <f>VLOOKUP(B746,'NOVACART DATA'!$B$2:$M$1001,5,FALSE)</f>
        <v>Email</v>
      </c>
      <c r="F746" s="1">
        <v>1</v>
      </c>
      <c r="G746" s="1">
        <v>44.01</v>
      </c>
      <c r="H746" s="1">
        <v>10</v>
      </c>
      <c r="I746" s="17">
        <f t="shared" si="11"/>
        <v>39.609000000000002</v>
      </c>
      <c r="J746" s="1">
        <f>VLOOKUP(B746,'NOVACART DATA'!$B$2:$N$1001,13,FALSE)</f>
        <v>0</v>
      </c>
    </row>
    <row r="747" spans="1:10">
      <c r="A747" s="2">
        <f>VLOOKUP(B747,CHOOSE({1,2},'NOVACART DATA'!$B$2:$B$1001,'NOVACART DATA'!$A$2:$A$1001),2,FALSE)</f>
        <v>46054</v>
      </c>
      <c r="B747" s="1">
        <v>1366</v>
      </c>
      <c r="C747" s="1">
        <f>VLOOKUP(B747,'NOVACART DATA'!$B$2:$C$1000,2,FALSE)</f>
        <v>100</v>
      </c>
      <c r="D747" s="1">
        <v>32</v>
      </c>
      <c r="E747" s="1" t="str">
        <f>VLOOKUP(B747,'NOVACART DATA'!$B$2:$M$1001,5,FALSE)</f>
        <v>Email</v>
      </c>
      <c r="F747" s="1">
        <v>1</v>
      </c>
      <c r="G747" s="1">
        <v>61.06</v>
      </c>
      <c r="H747" s="1">
        <v>25</v>
      </c>
      <c r="I747" s="17">
        <f t="shared" si="11"/>
        <v>45.795000000000002</v>
      </c>
      <c r="J747" s="1">
        <f>VLOOKUP(B747,'NOVACART DATA'!$B$2:$N$1001,13,FALSE)</f>
        <v>0</v>
      </c>
    </row>
    <row r="748" spans="1:10">
      <c r="A748" s="2">
        <f>VLOOKUP(B748,CHOOSE({1,2},'NOVACART DATA'!$B$2:$B$1001,'NOVACART DATA'!$A$2:$A$1001),2,FALSE)</f>
        <v>46054</v>
      </c>
      <c r="B748" s="1">
        <v>1366</v>
      </c>
      <c r="C748" s="1">
        <f>VLOOKUP(B748,'NOVACART DATA'!$B$2:$C$1000,2,FALSE)</f>
        <v>100</v>
      </c>
      <c r="D748" s="1">
        <v>9</v>
      </c>
      <c r="E748" s="1" t="str">
        <f>VLOOKUP(B748,'NOVACART DATA'!$B$2:$M$1001,5,FALSE)</f>
        <v>Email</v>
      </c>
      <c r="F748" s="1">
        <v>1</v>
      </c>
      <c r="G748" s="1">
        <v>20.69</v>
      </c>
      <c r="H748" s="1">
        <v>10</v>
      </c>
      <c r="I748" s="17">
        <f t="shared" si="11"/>
        <v>18.621000000000002</v>
      </c>
      <c r="J748" s="1">
        <f>VLOOKUP(B748,'NOVACART DATA'!$B$2:$N$1001,13,FALSE)</f>
        <v>0</v>
      </c>
    </row>
    <row r="749" spans="1:10">
      <c r="A749" s="2">
        <f>VLOOKUP(B749,CHOOSE({1,2},'NOVACART DATA'!$B$2:$B$1001,'NOVACART DATA'!$A$2:$A$1001),2,FALSE)</f>
        <v>46045</v>
      </c>
      <c r="B749" s="1">
        <v>1424</v>
      </c>
      <c r="C749" s="1">
        <f>VLOOKUP(B749,'NOVACART DATA'!$B$2:$C$1000,2,FALSE)</f>
        <v>100</v>
      </c>
      <c r="D749" s="1">
        <v>36</v>
      </c>
      <c r="E749" s="1" t="str">
        <f>VLOOKUP(B749,'NOVACART DATA'!$B$2:$M$1001,5,FALSE)</f>
        <v>Email</v>
      </c>
      <c r="F749" s="1">
        <v>2</v>
      </c>
      <c r="G749" s="1">
        <v>23.23</v>
      </c>
      <c r="H749" s="1">
        <v>25</v>
      </c>
      <c r="I749" s="17">
        <f t="shared" si="11"/>
        <v>34.844999999999999</v>
      </c>
      <c r="J749" s="1">
        <f>VLOOKUP(B749,'NOVACART DATA'!$B$2:$N$1001,13,FALSE)</f>
        <v>0</v>
      </c>
    </row>
    <row r="750" spans="1:10">
      <c r="A750" s="2">
        <f>VLOOKUP(B750,CHOOSE({1,2},'NOVACART DATA'!$B$2:$B$1001,'NOVACART DATA'!$A$2:$A$1001),2,FALSE)</f>
        <v>46205</v>
      </c>
      <c r="B750" s="1">
        <v>1463</v>
      </c>
      <c r="C750" s="1">
        <f>VLOOKUP(B750,'NOVACART DATA'!$B$2:$C$1000,2,FALSE)</f>
        <v>100</v>
      </c>
      <c r="D750" s="1">
        <v>9</v>
      </c>
      <c r="E750" s="1" t="str">
        <f>VLOOKUP(B750,'NOVACART DATA'!$B$2:$M$1001,5,FALSE)</f>
        <v>Email</v>
      </c>
      <c r="F750" s="1">
        <v>1</v>
      </c>
      <c r="G750" s="1">
        <v>20.69</v>
      </c>
      <c r="H750" s="1">
        <v>10</v>
      </c>
      <c r="I750" s="17">
        <f t="shared" si="11"/>
        <v>18.621000000000002</v>
      </c>
      <c r="J750" s="1">
        <f>VLOOKUP(B750,'NOVACART DATA'!$B$2:$N$1001,13,FALSE)</f>
        <v>0</v>
      </c>
    </row>
    <row r="751" spans="1:10">
      <c r="A751" s="2">
        <f>VLOOKUP(B751,CHOOSE({1,2},'NOVACART DATA'!$B$2:$B$1001,'NOVACART DATA'!$A$2:$A$1001),2,FALSE)</f>
        <v>46064</v>
      </c>
      <c r="B751" s="1">
        <v>1474</v>
      </c>
      <c r="C751" s="1">
        <f>VLOOKUP(B751,'NOVACART DATA'!$B$2:$C$1000,2,FALSE)</f>
        <v>100</v>
      </c>
      <c r="D751" s="1">
        <v>20</v>
      </c>
      <c r="E751" s="1" t="str">
        <f>VLOOKUP(B751,'NOVACART DATA'!$B$2:$M$1001,5,FALSE)</f>
        <v>Email</v>
      </c>
      <c r="F751" s="1">
        <v>1</v>
      </c>
      <c r="G751" s="1">
        <v>32.76</v>
      </c>
      <c r="H751" s="1">
        <v>25</v>
      </c>
      <c r="I751" s="17">
        <f t="shared" si="11"/>
        <v>24.57</v>
      </c>
      <c r="J751" s="1">
        <f>VLOOKUP(B751,'NOVACART DATA'!$B$2:$N$1001,13,FALSE)</f>
        <v>0</v>
      </c>
    </row>
    <row r="752" spans="1:10">
      <c r="A752" s="2">
        <f>VLOOKUP(B752,CHOOSE({1,2},'NOVACART DATA'!$B$2:$B$1001,'NOVACART DATA'!$A$2:$A$1001),2,FALSE)</f>
        <v>46067</v>
      </c>
      <c r="B752" s="1">
        <v>1486</v>
      </c>
      <c r="C752" s="1">
        <f>VLOOKUP(B752,'NOVACART DATA'!$B$2:$C$1000,2,FALSE)</f>
        <v>100</v>
      </c>
      <c r="D752" s="1">
        <v>5</v>
      </c>
      <c r="E752" s="1" t="str">
        <f>VLOOKUP(B752,'NOVACART DATA'!$B$2:$M$1001,5,FALSE)</f>
        <v>Email</v>
      </c>
      <c r="F752" s="1">
        <v>1</v>
      </c>
      <c r="G752" s="1">
        <v>42.53</v>
      </c>
      <c r="H752" s="1">
        <v>5</v>
      </c>
      <c r="I752" s="17">
        <f t="shared" si="11"/>
        <v>40.403500000000001</v>
      </c>
      <c r="J752" s="1">
        <f>VLOOKUP(B752,'NOVACART DATA'!$B$2:$N$1001,13,FALSE)</f>
        <v>0</v>
      </c>
    </row>
    <row r="753" spans="1:10">
      <c r="A753" s="2">
        <f>VLOOKUP(B753,CHOOSE({1,2},'NOVACART DATA'!$B$2:$B$1001,'NOVACART DATA'!$A$2:$A$1001),2,FALSE)</f>
        <v>46067</v>
      </c>
      <c r="B753" s="1">
        <v>1486</v>
      </c>
      <c r="C753" s="1">
        <f>VLOOKUP(B753,'NOVACART DATA'!$B$2:$C$1000,2,FALSE)</f>
        <v>100</v>
      </c>
      <c r="D753" s="1">
        <v>17</v>
      </c>
      <c r="E753" s="1" t="str">
        <f>VLOOKUP(B753,'NOVACART DATA'!$B$2:$M$1001,5,FALSE)</f>
        <v>Email</v>
      </c>
      <c r="F753" s="1">
        <v>3</v>
      </c>
      <c r="G753" s="1">
        <v>6.61</v>
      </c>
      <c r="H753" s="1">
        <v>0</v>
      </c>
      <c r="I753" s="17">
        <f t="shared" si="11"/>
        <v>19.830000000000002</v>
      </c>
      <c r="J753" s="1">
        <f>VLOOKUP(B753,'NOVACART DATA'!$B$2:$N$1001,13,FALSE)</f>
        <v>0</v>
      </c>
    </row>
    <row r="754" spans="1:10">
      <c r="A754" s="2">
        <f>VLOOKUP(B754,CHOOSE({1,2},'NOVACART DATA'!$B$2:$B$1001,'NOVACART DATA'!$A$2:$A$1001),2,FALSE)</f>
        <v>46067</v>
      </c>
      <c r="B754" s="1">
        <v>1486</v>
      </c>
      <c r="C754" s="1">
        <f>VLOOKUP(B754,'NOVACART DATA'!$B$2:$C$1000,2,FALSE)</f>
        <v>100</v>
      </c>
      <c r="D754" s="1">
        <v>1</v>
      </c>
      <c r="E754" s="1" t="str">
        <f>VLOOKUP(B754,'NOVACART DATA'!$B$2:$M$1001,5,FALSE)</f>
        <v>Email</v>
      </c>
      <c r="F754" s="1">
        <v>1</v>
      </c>
      <c r="G754" s="1">
        <v>47.45</v>
      </c>
      <c r="H754" s="1">
        <v>5</v>
      </c>
      <c r="I754" s="17">
        <f t="shared" si="11"/>
        <v>45.077500000000001</v>
      </c>
      <c r="J754" s="1">
        <f>VLOOKUP(B754,'NOVACART DATA'!$B$2:$N$1001,13,FALSE)</f>
        <v>0</v>
      </c>
    </row>
    <row r="755" spans="1:10">
      <c r="A755" s="2">
        <f>VLOOKUP(B755,CHOOSE({1,2},'NOVACART DATA'!$B$2:$B$1001,'NOVACART DATA'!$A$2:$A$1001),2,FALSE)</f>
        <v>46054</v>
      </c>
      <c r="B755" s="1">
        <v>1366</v>
      </c>
      <c r="C755" s="1">
        <f>VLOOKUP(B755,'NOVACART DATA'!$B$2:$C$1000,2,FALSE)</f>
        <v>100</v>
      </c>
      <c r="D755" s="1">
        <v>24</v>
      </c>
      <c r="E755" s="1" t="str">
        <f>VLOOKUP(B755,'NOVACART DATA'!$B$2:$M$1001,5,FALSE)</f>
        <v>Email</v>
      </c>
      <c r="F755" s="1">
        <v>1</v>
      </c>
      <c r="G755" s="1">
        <v>43.42</v>
      </c>
      <c r="H755" s="1">
        <v>25</v>
      </c>
      <c r="I755" s="17">
        <f t="shared" si="11"/>
        <v>32.564999999999998</v>
      </c>
      <c r="J755" s="1">
        <f>VLOOKUP(B755,'NOVACART DATA'!$B$2:$N$1001,13,FALSE)</f>
        <v>0</v>
      </c>
    </row>
    <row r="756" spans="1:10">
      <c r="A756" s="2">
        <f>VLOOKUP(B756,CHOOSE({1,2},'NOVACART DATA'!$B$2:$B$1001,'NOVACART DATA'!$A$2:$A$1001),2,FALSE)</f>
        <v>45949</v>
      </c>
      <c r="B756" s="1">
        <v>1033</v>
      </c>
      <c r="C756" s="1">
        <f>VLOOKUP(B756,'NOVACART DATA'!$B$2:$C$1000,2,FALSE)</f>
        <v>101</v>
      </c>
      <c r="D756" s="1">
        <v>26</v>
      </c>
      <c r="E756" s="1" t="str">
        <f>VLOOKUP(B756,'NOVACART DATA'!$B$2:$M$1001,5,FALSE)</f>
        <v>Email</v>
      </c>
      <c r="F756" s="1">
        <v>2</v>
      </c>
      <c r="G756" s="1">
        <v>31.76</v>
      </c>
      <c r="H756" s="1">
        <v>10</v>
      </c>
      <c r="I756" s="17">
        <f t="shared" si="11"/>
        <v>57.168000000000006</v>
      </c>
      <c r="J756" s="1">
        <f>VLOOKUP(B756,'NOVACART DATA'!$B$2:$N$1001,13,FALSE)</f>
        <v>0</v>
      </c>
    </row>
    <row r="757" spans="1:10">
      <c r="A757" s="2">
        <f>VLOOKUP(B757,CHOOSE({1,2},'NOVACART DATA'!$B$2:$B$1001,'NOVACART DATA'!$A$2:$A$1001),2,FALSE)</f>
        <v>45961</v>
      </c>
      <c r="B757" s="1">
        <v>1062</v>
      </c>
      <c r="C757" s="1">
        <f>VLOOKUP(B757,'NOVACART DATA'!$B$2:$C$1000,2,FALSE)</f>
        <v>101</v>
      </c>
      <c r="D757" s="1">
        <v>10</v>
      </c>
      <c r="E757" s="1" t="str">
        <f>VLOOKUP(B757,'NOVACART DATA'!$B$2:$M$1001,5,FALSE)</f>
        <v>Email</v>
      </c>
      <c r="F757" s="1">
        <v>2</v>
      </c>
      <c r="G757" s="1">
        <v>62.68</v>
      </c>
      <c r="H757" s="1">
        <v>0</v>
      </c>
      <c r="I757" s="17">
        <f t="shared" si="11"/>
        <v>125.36</v>
      </c>
      <c r="J757" s="1">
        <f>VLOOKUP(B757,'NOVACART DATA'!$B$2:$N$1001,13,FALSE)</f>
        <v>0</v>
      </c>
    </row>
    <row r="758" spans="1:10">
      <c r="A758" s="2">
        <f>VLOOKUP(B758,CHOOSE({1,2},'NOVACART DATA'!$B$2:$B$1001,'NOVACART DATA'!$A$2:$A$1001),2,FALSE)</f>
        <v>45880</v>
      </c>
      <c r="B758" s="1">
        <v>1093</v>
      </c>
      <c r="C758" s="1">
        <f>VLOOKUP(B758,'NOVACART DATA'!$B$2:$C$1000,2,FALSE)</f>
        <v>101</v>
      </c>
      <c r="D758" s="1">
        <v>28</v>
      </c>
      <c r="E758" s="1" t="str">
        <f>VLOOKUP(B758,'NOVACART DATA'!$B$2:$M$1001,5,FALSE)</f>
        <v>Email</v>
      </c>
      <c r="F758" s="1">
        <v>2</v>
      </c>
      <c r="G758" s="1">
        <v>21.24</v>
      </c>
      <c r="H758" s="1">
        <v>10</v>
      </c>
      <c r="I758" s="17">
        <f t="shared" si="11"/>
        <v>38.231999999999999</v>
      </c>
      <c r="J758" s="1">
        <f>VLOOKUP(B758,'NOVACART DATA'!$B$2:$N$1001,13,FALSE)</f>
        <v>0</v>
      </c>
    </row>
    <row r="759" spans="1:10">
      <c r="A759" s="2">
        <f>VLOOKUP(B759,CHOOSE({1,2},'NOVACART DATA'!$B$2:$B$1001,'NOVACART DATA'!$A$2:$A$1001),2,FALSE)</f>
        <v>45976</v>
      </c>
      <c r="B759" s="1">
        <v>1133</v>
      </c>
      <c r="C759" s="1">
        <f>VLOOKUP(B759,'NOVACART DATA'!$B$2:$C$1000,2,FALSE)</f>
        <v>101</v>
      </c>
      <c r="D759" s="1">
        <v>23</v>
      </c>
      <c r="E759" s="1" t="str">
        <f>VLOOKUP(B759,'NOVACART DATA'!$B$2:$M$1001,5,FALSE)</f>
        <v>Email</v>
      </c>
      <c r="F759" s="1">
        <v>3</v>
      </c>
      <c r="G759" s="1">
        <v>38.14</v>
      </c>
      <c r="H759" s="1">
        <v>0</v>
      </c>
      <c r="I759" s="17">
        <f t="shared" si="11"/>
        <v>114.42</v>
      </c>
      <c r="J759" s="1">
        <f>VLOOKUP(B759,'NOVACART DATA'!$B$2:$N$1001,13,FALSE)</f>
        <v>0</v>
      </c>
    </row>
    <row r="760" spans="1:10">
      <c r="A760" s="2">
        <f>VLOOKUP(B760,CHOOSE({1,2},'NOVACART DATA'!$B$2:$B$1001,'NOVACART DATA'!$A$2:$A$1001),2,FALSE)</f>
        <v>45976</v>
      </c>
      <c r="B760" s="1">
        <v>1133</v>
      </c>
      <c r="C760" s="1">
        <f>VLOOKUP(B760,'NOVACART DATA'!$B$2:$C$1000,2,FALSE)</f>
        <v>101</v>
      </c>
      <c r="D760" s="1">
        <v>34</v>
      </c>
      <c r="E760" s="1" t="str">
        <f>VLOOKUP(B760,'NOVACART DATA'!$B$2:$M$1001,5,FALSE)</f>
        <v>Email</v>
      </c>
      <c r="F760" s="1">
        <v>1</v>
      </c>
      <c r="G760" s="1">
        <v>58.26</v>
      </c>
      <c r="H760" s="1">
        <v>0</v>
      </c>
      <c r="I760" s="17">
        <f t="shared" si="11"/>
        <v>58.26</v>
      </c>
      <c r="J760" s="1">
        <f>VLOOKUP(B760,'NOVACART DATA'!$B$2:$N$1001,13,FALSE)</f>
        <v>0</v>
      </c>
    </row>
    <row r="761" spans="1:10">
      <c r="A761" s="2">
        <f>VLOOKUP(B761,CHOOSE({1,2},'NOVACART DATA'!$B$2:$B$1001,'NOVACART DATA'!$A$2:$A$1001),2,FALSE)</f>
        <v>45976</v>
      </c>
      <c r="B761" s="1">
        <v>1133</v>
      </c>
      <c r="C761" s="1">
        <f>VLOOKUP(B761,'NOVACART DATA'!$B$2:$C$1000,2,FALSE)</f>
        <v>101</v>
      </c>
      <c r="D761" s="1">
        <v>18</v>
      </c>
      <c r="E761" s="1" t="str">
        <f>VLOOKUP(B761,'NOVACART DATA'!$B$2:$M$1001,5,FALSE)</f>
        <v>Email</v>
      </c>
      <c r="F761" s="1">
        <v>1</v>
      </c>
      <c r="G761" s="1">
        <v>44.01</v>
      </c>
      <c r="H761" s="1">
        <v>0</v>
      </c>
      <c r="I761" s="17">
        <f t="shared" si="11"/>
        <v>44.01</v>
      </c>
      <c r="J761" s="1">
        <f>VLOOKUP(B761,'NOVACART DATA'!$B$2:$N$1001,13,FALSE)</f>
        <v>0</v>
      </c>
    </row>
    <row r="762" spans="1:10">
      <c r="A762" s="2">
        <f>VLOOKUP(B762,CHOOSE({1,2},'NOVACART DATA'!$B$2:$B$1001,'NOVACART DATA'!$A$2:$A$1001),2,FALSE)</f>
        <v>45976</v>
      </c>
      <c r="B762" s="1">
        <v>1133</v>
      </c>
      <c r="C762" s="1">
        <f>VLOOKUP(B762,'NOVACART DATA'!$B$2:$C$1000,2,FALSE)</f>
        <v>101</v>
      </c>
      <c r="D762" s="1">
        <v>20</v>
      </c>
      <c r="E762" s="1" t="str">
        <f>VLOOKUP(B762,'NOVACART DATA'!$B$2:$M$1001,5,FALSE)</f>
        <v>Email</v>
      </c>
      <c r="F762" s="1">
        <v>1</v>
      </c>
      <c r="G762" s="1">
        <v>32.76</v>
      </c>
      <c r="H762" s="1">
        <v>0</v>
      </c>
      <c r="I762" s="17">
        <f t="shared" si="11"/>
        <v>32.76</v>
      </c>
      <c r="J762" s="1">
        <f>VLOOKUP(B762,'NOVACART DATA'!$B$2:$N$1001,13,FALSE)</f>
        <v>0</v>
      </c>
    </row>
    <row r="763" spans="1:10">
      <c r="A763" s="2">
        <f>VLOOKUP(B763,CHOOSE({1,2},'NOVACART DATA'!$B$2:$B$1001,'NOVACART DATA'!$A$2:$A$1001),2,FALSE)</f>
        <v>45986</v>
      </c>
      <c r="B763" s="1">
        <v>1176</v>
      </c>
      <c r="C763" s="1">
        <f>VLOOKUP(B763,'NOVACART DATA'!$B$2:$C$1000,2,FALSE)</f>
        <v>101</v>
      </c>
      <c r="D763" s="1">
        <v>18</v>
      </c>
      <c r="E763" s="1" t="str">
        <f>VLOOKUP(B763,'NOVACART DATA'!$B$2:$M$1001,5,FALSE)</f>
        <v>Email</v>
      </c>
      <c r="F763" s="1">
        <v>1</v>
      </c>
      <c r="G763" s="1">
        <v>44.01</v>
      </c>
      <c r="H763" s="1">
        <v>15</v>
      </c>
      <c r="I763" s="17">
        <f t="shared" si="11"/>
        <v>37.408499999999997</v>
      </c>
      <c r="J763" s="1">
        <f>VLOOKUP(B763,'NOVACART DATA'!$B$2:$N$1001,13,FALSE)</f>
        <v>0</v>
      </c>
    </row>
    <row r="764" spans="1:10">
      <c r="A764" s="2">
        <f>VLOOKUP(B764,CHOOSE({1,2},'NOVACART DATA'!$B$2:$B$1001,'NOVACART DATA'!$A$2:$A$1001),2,FALSE)</f>
        <v>45987</v>
      </c>
      <c r="B764" s="1">
        <v>1183</v>
      </c>
      <c r="C764" s="1">
        <f>VLOOKUP(B764,'NOVACART DATA'!$B$2:$C$1000,2,FALSE)</f>
        <v>101</v>
      </c>
      <c r="D764" s="1">
        <v>25</v>
      </c>
      <c r="E764" s="1" t="str">
        <f>VLOOKUP(B764,'NOVACART DATA'!$B$2:$M$1001,5,FALSE)</f>
        <v>Email</v>
      </c>
      <c r="F764" s="1">
        <v>1</v>
      </c>
      <c r="G764" s="1">
        <v>17.78</v>
      </c>
      <c r="H764" s="1">
        <v>10</v>
      </c>
      <c r="I764" s="17">
        <f t="shared" si="11"/>
        <v>16.002000000000002</v>
      </c>
      <c r="J764" s="1">
        <f>VLOOKUP(B764,'NOVACART DATA'!$B$2:$N$1001,13,FALSE)</f>
        <v>0</v>
      </c>
    </row>
    <row r="765" spans="1:10">
      <c r="A765" s="2">
        <f>VLOOKUP(B765,CHOOSE({1,2},'NOVACART DATA'!$B$2:$B$1001,'NOVACART DATA'!$A$2:$A$1001),2,FALSE)</f>
        <v>45987</v>
      </c>
      <c r="B765" s="1">
        <v>1183</v>
      </c>
      <c r="C765" s="1">
        <f>VLOOKUP(B765,'NOVACART DATA'!$B$2:$C$1000,2,FALSE)</f>
        <v>101</v>
      </c>
      <c r="D765" s="1">
        <v>40</v>
      </c>
      <c r="E765" s="1" t="str">
        <f>VLOOKUP(B765,'NOVACART DATA'!$B$2:$M$1001,5,FALSE)</f>
        <v>Email</v>
      </c>
      <c r="F765" s="1">
        <v>1</v>
      </c>
      <c r="G765" s="1">
        <v>47.25</v>
      </c>
      <c r="H765" s="1">
        <v>10</v>
      </c>
      <c r="I765" s="17">
        <f t="shared" si="11"/>
        <v>42.524999999999999</v>
      </c>
      <c r="J765" s="1">
        <f>VLOOKUP(B765,'NOVACART DATA'!$B$2:$N$1001,13,FALSE)</f>
        <v>0</v>
      </c>
    </row>
    <row r="766" spans="1:10">
      <c r="A766" s="2">
        <f>VLOOKUP(B766,CHOOSE({1,2},'NOVACART DATA'!$B$2:$B$1001,'NOVACART DATA'!$A$2:$A$1001),2,FALSE)</f>
        <v>45987</v>
      </c>
      <c r="B766" s="1">
        <v>1183</v>
      </c>
      <c r="C766" s="1">
        <f>VLOOKUP(B766,'NOVACART DATA'!$B$2:$C$1000,2,FALSE)</f>
        <v>101</v>
      </c>
      <c r="D766" s="1">
        <v>4</v>
      </c>
      <c r="E766" s="1" t="str">
        <f>VLOOKUP(B766,'NOVACART DATA'!$B$2:$M$1001,5,FALSE)</f>
        <v>Email</v>
      </c>
      <c r="F766" s="1">
        <v>1</v>
      </c>
      <c r="G766" s="1">
        <v>34.83</v>
      </c>
      <c r="H766" s="1">
        <v>10</v>
      </c>
      <c r="I766" s="17">
        <f t="shared" si="11"/>
        <v>31.346999999999998</v>
      </c>
      <c r="J766" s="1">
        <f>VLOOKUP(B766,'NOVACART DATA'!$B$2:$N$1001,13,FALSE)</f>
        <v>0</v>
      </c>
    </row>
    <row r="767" spans="1:10">
      <c r="A767" s="2">
        <f>VLOOKUP(B767,CHOOSE({1,2},'NOVACART DATA'!$B$2:$B$1001,'NOVACART DATA'!$A$2:$A$1001),2,FALSE)</f>
        <v>45989</v>
      </c>
      <c r="B767" s="1">
        <v>1194</v>
      </c>
      <c r="C767" s="1">
        <f>VLOOKUP(B767,'NOVACART DATA'!$B$2:$C$1000,2,FALSE)</f>
        <v>101</v>
      </c>
      <c r="D767" s="1">
        <v>20</v>
      </c>
      <c r="E767" s="1" t="str">
        <f>VLOOKUP(B767,'NOVACART DATA'!$B$2:$M$1001,5,FALSE)</f>
        <v>Email</v>
      </c>
      <c r="F767" s="1">
        <v>2</v>
      </c>
      <c r="G767" s="1">
        <v>32.76</v>
      </c>
      <c r="H767" s="1">
        <v>5</v>
      </c>
      <c r="I767" s="17">
        <f t="shared" si="11"/>
        <v>62.243999999999993</v>
      </c>
      <c r="J767" s="1">
        <f>VLOOKUP(B767,'NOVACART DATA'!$B$2:$N$1001,13,FALSE)</f>
        <v>0</v>
      </c>
    </row>
    <row r="768" spans="1:10">
      <c r="A768" s="2">
        <f>VLOOKUP(B768,CHOOSE({1,2},'NOVACART DATA'!$B$2:$B$1001,'NOVACART DATA'!$A$2:$A$1001),2,FALSE)</f>
        <v>45942</v>
      </c>
      <c r="B768" s="1">
        <v>1250</v>
      </c>
      <c r="C768" s="1">
        <f>VLOOKUP(B768,'NOVACART DATA'!$B$2:$C$1000,2,FALSE)</f>
        <v>101</v>
      </c>
      <c r="D768" s="1">
        <v>31</v>
      </c>
      <c r="E768" s="1" t="str">
        <f>VLOOKUP(B768,'NOVACART DATA'!$B$2:$M$1001,5,FALSE)</f>
        <v>Email</v>
      </c>
      <c r="F768" s="1">
        <v>1</v>
      </c>
      <c r="G768" s="1">
        <v>57.51</v>
      </c>
      <c r="H768" s="1">
        <v>5.5</v>
      </c>
      <c r="I768" s="17">
        <f t="shared" si="11"/>
        <v>54.346949999999993</v>
      </c>
      <c r="J768" s="1">
        <f>VLOOKUP(B768,'NOVACART DATA'!$B$2:$N$1001,13,FALSE)</f>
        <v>0</v>
      </c>
    </row>
    <row r="769" spans="1:10">
      <c r="A769" s="2">
        <f>VLOOKUP(B769,CHOOSE({1,2},'NOVACART DATA'!$B$2:$B$1001,'NOVACART DATA'!$A$2:$A$1001),2,FALSE)</f>
        <v>46013</v>
      </c>
      <c r="B769" s="1">
        <v>1312</v>
      </c>
      <c r="C769" s="1">
        <f>VLOOKUP(B769,'NOVACART DATA'!$B$2:$C$1000,2,FALSE)</f>
        <v>101</v>
      </c>
      <c r="D769" s="1">
        <v>12</v>
      </c>
      <c r="E769" s="1" t="str">
        <f>VLOOKUP(B769,'NOVACART DATA'!$B$2:$M$1001,5,FALSE)</f>
        <v>Email</v>
      </c>
      <c r="F769" s="1">
        <v>1</v>
      </c>
      <c r="G769" s="1">
        <v>8.4499999999999993</v>
      </c>
      <c r="H769" s="1">
        <v>10</v>
      </c>
      <c r="I769" s="17">
        <f t="shared" si="11"/>
        <v>7.6049999999999995</v>
      </c>
      <c r="J769" s="1">
        <f>VLOOKUP(B769,'NOVACART DATA'!$B$2:$N$1001,13,FALSE)</f>
        <v>0</v>
      </c>
    </row>
    <row r="770" spans="1:10">
      <c r="A770" s="2">
        <f>VLOOKUP(B770,CHOOSE({1,2},'NOVACART DATA'!$B$2:$B$1001,'NOVACART DATA'!$A$2:$A$1001),2,FALSE)</f>
        <v>46020</v>
      </c>
      <c r="B770" s="1">
        <v>1357</v>
      </c>
      <c r="C770" s="1">
        <f>VLOOKUP(B770,'NOVACART DATA'!$B$2:$C$1000,2,FALSE)</f>
        <v>101</v>
      </c>
      <c r="D770" s="1">
        <v>30</v>
      </c>
      <c r="E770" s="1" t="str">
        <f>VLOOKUP(B770,'NOVACART DATA'!$B$2:$M$1001,5,FALSE)</f>
        <v>Email</v>
      </c>
      <c r="F770" s="1">
        <v>1</v>
      </c>
      <c r="G770" s="1">
        <v>41.49</v>
      </c>
      <c r="H770" s="1">
        <v>10</v>
      </c>
      <c r="I770" s="17">
        <f t="shared" ref="I770:I833" si="12">F770*G770*(1-H770/100)</f>
        <v>37.341000000000001</v>
      </c>
      <c r="J770" s="1">
        <f>VLOOKUP(B770,'NOVACART DATA'!$B$2:$N$1001,13,FALSE)</f>
        <v>0</v>
      </c>
    </row>
    <row r="771" spans="1:10">
      <c r="A771" s="2">
        <f>VLOOKUP(B771,CHOOSE({1,2},'NOVACART DATA'!$B$2:$B$1001,'NOVACART DATA'!$A$2:$A$1001),2,FALSE)</f>
        <v>46020</v>
      </c>
      <c r="B771" s="1">
        <v>1357</v>
      </c>
      <c r="C771" s="1">
        <f>VLOOKUP(B771,'NOVACART DATA'!$B$2:$C$1000,2,FALSE)</f>
        <v>101</v>
      </c>
      <c r="D771" s="1">
        <v>18</v>
      </c>
      <c r="E771" s="1" t="str">
        <f>VLOOKUP(B771,'NOVACART DATA'!$B$2:$M$1001,5,FALSE)</f>
        <v>Email</v>
      </c>
      <c r="F771" s="1">
        <v>1</v>
      </c>
      <c r="G771" s="1">
        <v>44.01</v>
      </c>
      <c r="H771" s="1">
        <v>0</v>
      </c>
      <c r="I771" s="17">
        <f t="shared" si="12"/>
        <v>44.01</v>
      </c>
      <c r="J771" s="1">
        <f>VLOOKUP(B771,'NOVACART DATA'!$B$2:$N$1001,13,FALSE)</f>
        <v>0</v>
      </c>
    </row>
    <row r="772" spans="1:10">
      <c r="A772" s="2">
        <f>VLOOKUP(B772,CHOOSE({1,2},'NOVACART DATA'!$B$2:$B$1001,'NOVACART DATA'!$A$2:$A$1001),2,FALSE)</f>
        <v>46296</v>
      </c>
      <c r="B772" s="1">
        <v>1388</v>
      </c>
      <c r="C772" s="1">
        <f>VLOOKUP(B772,'NOVACART DATA'!$B$2:$C$1000,2,FALSE)</f>
        <v>101</v>
      </c>
      <c r="D772" s="1">
        <v>38</v>
      </c>
      <c r="E772" s="1" t="str">
        <f>VLOOKUP(B772,'NOVACART DATA'!$B$2:$M$1001,5,FALSE)</f>
        <v>Email</v>
      </c>
      <c r="F772" s="1">
        <v>1</v>
      </c>
      <c r="G772" s="1">
        <v>25.14</v>
      </c>
      <c r="H772" s="1">
        <v>15</v>
      </c>
      <c r="I772" s="17">
        <f t="shared" si="12"/>
        <v>21.369</v>
      </c>
      <c r="J772" s="1">
        <f>VLOOKUP(B772,'NOVACART DATA'!$B$2:$N$1001,13,FALSE)</f>
        <v>0</v>
      </c>
    </row>
    <row r="773" spans="1:10">
      <c r="A773" s="2">
        <f>VLOOKUP(B773,CHOOSE({1,2},'NOVACART DATA'!$B$2:$B$1001,'NOVACART DATA'!$A$2:$A$1001),2,FALSE)</f>
        <v>46074</v>
      </c>
      <c r="B773" s="1">
        <v>1516</v>
      </c>
      <c r="C773" s="1">
        <f>VLOOKUP(B773,'NOVACART DATA'!$B$2:$C$1000,2,FALSE)</f>
        <v>101</v>
      </c>
      <c r="D773" s="1">
        <v>15</v>
      </c>
      <c r="E773" s="1" t="str">
        <f>VLOOKUP(B773,'NOVACART DATA'!$B$2:$M$1001,5,FALSE)</f>
        <v>Email</v>
      </c>
      <c r="F773" s="1">
        <v>1</v>
      </c>
      <c r="G773" s="1">
        <v>47.71</v>
      </c>
      <c r="H773" s="1">
        <v>0</v>
      </c>
      <c r="I773" s="17">
        <f t="shared" si="12"/>
        <v>47.71</v>
      </c>
      <c r="J773" s="1">
        <f>VLOOKUP(B773,'NOVACART DATA'!$B$2:$N$1001,13,FALSE)</f>
        <v>0</v>
      </c>
    </row>
    <row r="774" spans="1:10">
      <c r="A774" s="2">
        <f>VLOOKUP(B774,CHOOSE({1,2},'NOVACART DATA'!$B$2:$B$1001,'NOVACART DATA'!$A$2:$A$1001),2,FALSE)</f>
        <v>46074</v>
      </c>
      <c r="B774" s="1">
        <v>1516</v>
      </c>
      <c r="C774" s="1">
        <f>VLOOKUP(B774,'NOVACART DATA'!$B$2:$C$1000,2,FALSE)</f>
        <v>101</v>
      </c>
      <c r="D774" s="1">
        <v>38</v>
      </c>
      <c r="E774" s="1" t="str">
        <f>VLOOKUP(B774,'NOVACART DATA'!$B$2:$M$1001,5,FALSE)</f>
        <v>Email</v>
      </c>
      <c r="F774" s="1">
        <v>1</v>
      </c>
      <c r="G774" s="1">
        <v>25.14</v>
      </c>
      <c r="H774" s="1">
        <v>0</v>
      </c>
      <c r="I774" s="17">
        <f t="shared" si="12"/>
        <v>25.14</v>
      </c>
      <c r="J774" s="1">
        <f>VLOOKUP(B774,'NOVACART DATA'!$B$2:$N$1001,13,FALSE)</f>
        <v>0</v>
      </c>
    </row>
    <row r="775" spans="1:10">
      <c r="A775" s="2">
        <f>VLOOKUP(B775,CHOOSE({1,2},'NOVACART DATA'!$B$2:$B$1001,'NOVACART DATA'!$A$2:$A$1001),2,FALSE)</f>
        <v>46296</v>
      </c>
      <c r="B775" s="1">
        <v>1388</v>
      </c>
      <c r="C775" s="1">
        <f>VLOOKUP(B775,'NOVACART DATA'!$B$2:$C$1000,2,FALSE)</f>
        <v>101</v>
      </c>
      <c r="D775" s="1">
        <v>35</v>
      </c>
      <c r="E775" s="1" t="str">
        <f>VLOOKUP(B775,'NOVACART DATA'!$B$2:$M$1001,5,FALSE)</f>
        <v>Email</v>
      </c>
      <c r="F775" s="1">
        <v>1</v>
      </c>
      <c r="G775" s="1">
        <v>11.3</v>
      </c>
      <c r="H775" s="1">
        <v>15</v>
      </c>
      <c r="I775" s="17">
        <f t="shared" si="12"/>
        <v>9.6050000000000004</v>
      </c>
      <c r="J775" s="1">
        <f>VLOOKUP(B775,'NOVACART DATA'!$B$2:$N$1001,13,FALSE)</f>
        <v>0</v>
      </c>
    </row>
    <row r="776" spans="1:10">
      <c r="A776" s="2">
        <f>VLOOKUP(B776,CHOOSE({1,2},'NOVACART DATA'!$B$2:$B$1001,'NOVACART DATA'!$A$2:$A$1001),2,FALSE)</f>
        <v>45956</v>
      </c>
      <c r="B776" s="1">
        <v>1049</v>
      </c>
      <c r="C776" s="1">
        <f>VLOOKUP(B776,'NOVACART DATA'!$B$2:$C$1000,2,FALSE)</f>
        <v>102</v>
      </c>
      <c r="D776" s="1">
        <v>2</v>
      </c>
      <c r="E776" s="1" t="str">
        <f>VLOOKUP(B776,'NOVACART DATA'!$B$2:$M$1001,5,FALSE)</f>
        <v>Email</v>
      </c>
      <c r="F776" s="1">
        <v>1</v>
      </c>
      <c r="G776" s="1">
        <v>64.02</v>
      </c>
      <c r="H776" s="1">
        <v>0</v>
      </c>
      <c r="I776" s="17">
        <f t="shared" si="12"/>
        <v>64.02</v>
      </c>
      <c r="J776" s="1">
        <f>VLOOKUP(B776,'NOVACART DATA'!$B$2:$N$1001,13,FALSE)</f>
        <v>0</v>
      </c>
    </row>
    <row r="777" spans="1:10">
      <c r="A777" s="2">
        <f>VLOOKUP(B777,CHOOSE({1,2},'NOVACART DATA'!$B$2:$B$1001,'NOVACART DATA'!$A$2:$A$1001),2,FALSE)</f>
        <v>45850</v>
      </c>
      <c r="B777" s="1">
        <v>1236</v>
      </c>
      <c r="C777" s="1">
        <f>VLOOKUP(B777,'NOVACART DATA'!$B$2:$C$1000,2,FALSE)</f>
        <v>102</v>
      </c>
      <c r="D777" s="1">
        <v>22</v>
      </c>
      <c r="E777" s="1" t="str">
        <f>VLOOKUP(B777,'NOVACART DATA'!$B$2:$M$1001,5,FALSE)</f>
        <v>Email</v>
      </c>
      <c r="F777" s="1">
        <v>1</v>
      </c>
      <c r="G777" s="1">
        <v>29.98</v>
      </c>
      <c r="H777" s="1">
        <v>5</v>
      </c>
      <c r="I777" s="17">
        <f t="shared" si="12"/>
        <v>28.480999999999998</v>
      </c>
      <c r="J777" s="1">
        <f>VLOOKUP(B777,'NOVACART DATA'!$B$2:$N$1001,13,FALSE)</f>
        <v>0</v>
      </c>
    </row>
    <row r="778" spans="1:10">
      <c r="A778" s="2">
        <f>VLOOKUP(B778,CHOOSE({1,2},'NOVACART DATA'!$B$2:$B$1001,'NOVACART DATA'!$A$2:$A$1001),2,FALSE)</f>
        <v>45850</v>
      </c>
      <c r="B778" s="1">
        <v>1236</v>
      </c>
      <c r="C778" s="1">
        <f>VLOOKUP(B778,'NOVACART DATA'!$B$2:$C$1000,2,FALSE)</f>
        <v>102</v>
      </c>
      <c r="D778" s="1">
        <v>19</v>
      </c>
      <c r="E778" s="1" t="str">
        <f>VLOOKUP(B778,'NOVACART DATA'!$B$2:$M$1001,5,FALSE)</f>
        <v>Email</v>
      </c>
      <c r="F778" s="1">
        <v>2</v>
      </c>
      <c r="G778" s="1">
        <v>50.14</v>
      </c>
      <c r="H778" s="1">
        <v>5</v>
      </c>
      <c r="I778" s="17">
        <f t="shared" si="12"/>
        <v>95.265999999999991</v>
      </c>
      <c r="J778" s="1">
        <f>VLOOKUP(B778,'NOVACART DATA'!$B$2:$N$1001,13,FALSE)</f>
        <v>0</v>
      </c>
    </row>
    <row r="779" spans="1:10">
      <c r="A779" s="2">
        <f>VLOOKUP(B779,CHOOSE({1,2},'NOVACART DATA'!$B$2:$B$1001,'NOVACART DATA'!$A$2:$A$1001),2,FALSE)</f>
        <v>45850</v>
      </c>
      <c r="B779" s="1">
        <v>1236</v>
      </c>
      <c r="C779" s="1">
        <f>VLOOKUP(B779,'NOVACART DATA'!$B$2:$C$1000,2,FALSE)</f>
        <v>102</v>
      </c>
      <c r="D779" s="1">
        <v>32</v>
      </c>
      <c r="E779" s="1" t="str">
        <f>VLOOKUP(B779,'NOVACART DATA'!$B$2:$M$1001,5,FALSE)</f>
        <v>Email</v>
      </c>
      <c r="F779" s="1">
        <v>1</v>
      </c>
      <c r="G779" s="1">
        <v>61.06</v>
      </c>
      <c r="H779" s="1">
        <v>5.5</v>
      </c>
      <c r="I779" s="17">
        <f t="shared" si="12"/>
        <v>57.701700000000002</v>
      </c>
      <c r="J779" s="1">
        <f>VLOOKUP(B779,'NOVACART DATA'!$B$2:$N$1001,13,FALSE)</f>
        <v>0</v>
      </c>
    </row>
    <row r="780" spans="1:10">
      <c r="A780" s="2">
        <f>VLOOKUP(B780,CHOOSE({1,2},'NOVACART DATA'!$B$2:$B$1001,'NOVACART DATA'!$A$2:$A$1001),2,FALSE)</f>
        <v>46003</v>
      </c>
      <c r="B780" s="1">
        <v>1268</v>
      </c>
      <c r="C780" s="1">
        <f>VLOOKUP(B780,'NOVACART DATA'!$B$2:$C$1000,2,FALSE)</f>
        <v>102</v>
      </c>
      <c r="D780" s="1">
        <v>15</v>
      </c>
      <c r="E780" s="1" t="str">
        <f>VLOOKUP(B780,'NOVACART DATA'!$B$2:$M$1001,5,FALSE)</f>
        <v>Email</v>
      </c>
      <c r="F780" s="1">
        <v>1</v>
      </c>
      <c r="G780" s="1">
        <v>47.71</v>
      </c>
      <c r="H780" s="1">
        <v>0</v>
      </c>
      <c r="I780" s="17">
        <f t="shared" si="12"/>
        <v>47.71</v>
      </c>
      <c r="J780" s="1">
        <f>VLOOKUP(B780,'NOVACART DATA'!$B$2:$N$1001,13,FALSE)</f>
        <v>0</v>
      </c>
    </row>
    <row r="781" spans="1:10">
      <c r="A781" s="2">
        <f>VLOOKUP(B781,CHOOSE({1,2},'NOVACART DATA'!$B$2:$B$1001,'NOVACART DATA'!$A$2:$A$1001),2,FALSE)</f>
        <v>46018</v>
      </c>
      <c r="B781" s="1">
        <v>1340</v>
      </c>
      <c r="C781" s="1">
        <f>VLOOKUP(B781,'NOVACART DATA'!$B$2:$C$1000,2,FALSE)</f>
        <v>102</v>
      </c>
      <c r="D781" s="1">
        <v>6</v>
      </c>
      <c r="E781" s="1" t="str">
        <f>VLOOKUP(B781,'NOVACART DATA'!$B$2:$M$1001,5,FALSE)</f>
        <v>Email</v>
      </c>
      <c r="F781" s="1">
        <v>1</v>
      </c>
      <c r="G781" s="1">
        <v>70.47</v>
      </c>
      <c r="H781" s="1">
        <v>5</v>
      </c>
      <c r="I781" s="17">
        <f t="shared" si="12"/>
        <v>66.9465</v>
      </c>
      <c r="J781" s="1">
        <f>VLOOKUP(B781,'NOVACART DATA'!$B$2:$N$1001,13,FALSE)</f>
        <v>0</v>
      </c>
    </row>
    <row r="782" spans="1:10">
      <c r="A782" s="2">
        <f>VLOOKUP(B782,CHOOSE({1,2},'NOVACART DATA'!$B$2:$B$1001,'NOVACART DATA'!$A$2:$A$1001),2,FALSE)</f>
        <v>46143</v>
      </c>
      <c r="B782" s="1">
        <v>1373</v>
      </c>
      <c r="C782" s="1">
        <f>VLOOKUP(B782,'NOVACART DATA'!$B$2:$C$1000,2,FALSE)</f>
        <v>102</v>
      </c>
      <c r="D782" s="1">
        <v>24</v>
      </c>
      <c r="E782" s="1" t="str">
        <f>VLOOKUP(B782,'NOVACART DATA'!$B$2:$M$1001,5,FALSE)</f>
        <v>Email</v>
      </c>
      <c r="F782" s="1">
        <v>1</v>
      </c>
      <c r="G782" s="1">
        <v>43.42</v>
      </c>
      <c r="H782" s="1">
        <v>5</v>
      </c>
      <c r="I782" s="17">
        <f t="shared" si="12"/>
        <v>41.249000000000002</v>
      </c>
      <c r="J782" s="1">
        <f>VLOOKUP(B782,'NOVACART DATA'!$B$2:$N$1001,13,FALSE)</f>
        <v>0</v>
      </c>
    </row>
    <row r="783" spans="1:10">
      <c r="A783" s="2">
        <f>VLOOKUP(B783,CHOOSE({1,2},'NOVACART DATA'!$B$2:$B$1001,'NOVACART DATA'!$A$2:$A$1001),2,FALSE)</f>
        <v>46143</v>
      </c>
      <c r="B783" s="1">
        <v>1373</v>
      </c>
      <c r="C783" s="1">
        <f>VLOOKUP(B783,'NOVACART DATA'!$B$2:$C$1000,2,FALSE)</f>
        <v>102</v>
      </c>
      <c r="D783" s="1">
        <v>17</v>
      </c>
      <c r="E783" s="1" t="str">
        <f>VLOOKUP(B783,'NOVACART DATA'!$B$2:$M$1001,5,FALSE)</f>
        <v>Email</v>
      </c>
      <c r="F783" s="1">
        <v>2</v>
      </c>
      <c r="G783" s="1">
        <v>6.61</v>
      </c>
      <c r="H783" s="1">
        <v>0</v>
      </c>
      <c r="I783" s="17">
        <f t="shared" si="12"/>
        <v>13.22</v>
      </c>
      <c r="J783" s="1">
        <f>VLOOKUP(B783,'NOVACART DATA'!$B$2:$N$1001,13,FALSE)</f>
        <v>0</v>
      </c>
    </row>
    <row r="784" spans="1:10">
      <c r="A784" s="2">
        <f>VLOOKUP(B784,CHOOSE({1,2},'NOVACART DATA'!$B$2:$B$1001,'NOVACART DATA'!$A$2:$A$1001),2,FALSE)</f>
        <v>46266</v>
      </c>
      <c r="B784" s="1">
        <v>1383</v>
      </c>
      <c r="C784" s="1">
        <f>VLOOKUP(B784,'NOVACART DATA'!$B$2:$C$1000,2,FALSE)</f>
        <v>102</v>
      </c>
      <c r="D784" s="1">
        <v>7</v>
      </c>
      <c r="E784" s="1" t="str">
        <f>VLOOKUP(B784,'NOVACART DATA'!$B$2:$M$1001,5,FALSE)</f>
        <v>Email</v>
      </c>
      <c r="F784" s="1">
        <v>1</v>
      </c>
      <c r="G784" s="1">
        <v>79.39</v>
      </c>
      <c r="H784" s="1">
        <v>0</v>
      </c>
      <c r="I784" s="17">
        <f t="shared" si="12"/>
        <v>79.39</v>
      </c>
      <c r="J784" s="1">
        <f>VLOOKUP(B784,'NOVACART DATA'!$B$2:$N$1001,13,FALSE)</f>
        <v>0</v>
      </c>
    </row>
    <row r="785" spans="1:10">
      <c r="A785" s="2">
        <f>VLOOKUP(B785,CHOOSE({1,2},'NOVACART DATA'!$B$2:$B$1001,'NOVACART DATA'!$A$2:$A$1001),2,FALSE)</f>
        <v>46266</v>
      </c>
      <c r="B785" s="1">
        <v>1383</v>
      </c>
      <c r="C785" s="1">
        <f>VLOOKUP(B785,'NOVACART DATA'!$B$2:$C$1000,2,FALSE)</f>
        <v>102</v>
      </c>
      <c r="D785" s="1">
        <v>21</v>
      </c>
      <c r="E785" s="1" t="str">
        <f>VLOOKUP(B785,'NOVACART DATA'!$B$2:$M$1001,5,FALSE)</f>
        <v>Email</v>
      </c>
      <c r="F785" s="1">
        <v>1</v>
      </c>
      <c r="G785" s="1">
        <v>49.37</v>
      </c>
      <c r="H785" s="1">
        <v>5</v>
      </c>
      <c r="I785" s="17">
        <f t="shared" si="12"/>
        <v>46.901499999999999</v>
      </c>
      <c r="J785" s="1">
        <f>VLOOKUP(B785,'NOVACART DATA'!$B$2:$N$1001,13,FALSE)</f>
        <v>0</v>
      </c>
    </row>
    <row r="786" spans="1:10">
      <c r="A786" s="2">
        <f>VLOOKUP(B786,CHOOSE({1,2},'NOVACART DATA'!$B$2:$B$1001,'NOVACART DATA'!$A$2:$A$1001),2,FALSE)</f>
        <v>46357</v>
      </c>
      <c r="B786" s="1">
        <v>1399</v>
      </c>
      <c r="C786" s="1">
        <f>VLOOKUP(B786,'NOVACART DATA'!$B$2:$C$1000,2,FALSE)</f>
        <v>102</v>
      </c>
      <c r="D786" s="1">
        <v>32</v>
      </c>
      <c r="E786" s="1" t="str">
        <f>VLOOKUP(B786,'NOVACART DATA'!$B$2:$M$1001,5,FALSE)</f>
        <v>Email</v>
      </c>
      <c r="F786" s="1">
        <v>2</v>
      </c>
      <c r="G786" s="1">
        <v>61.06</v>
      </c>
      <c r="H786" s="1">
        <v>0</v>
      </c>
      <c r="I786" s="17">
        <f t="shared" si="12"/>
        <v>122.12</v>
      </c>
      <c r="J786" s="1">
        <f>VLOOKUP(B786,'NOVACART DATA'!$B$2:$N$1001,13,FALSE)</f>
        <v>0</v>
      </c>
    </row>
    <row r="787" spans="1:10">
      <c r="A787" s="2">
        <f>VLOOKUP(B787,CHOOSE({1,2},'NOVACART DATA'!$B$2:$B$1001,'NOVACART DATA'!$A$2:$A$1001),2,FALSE)</f>
        <v>46357</v>
      </c>
      <c r="B787" s="1">
        <v>1399</v>
      </c>
      <c r="C787" s="1">
        <f>VLOOKUP(B787,'NOVACART DATA'!$B$2:$C$1000,2,FALSE)</f>
        <v>102</v>
      </c>
      <c r="D787" s="1">
        <v>23</v>
      </c>
      <c r="E787" s="1" t="str">
        <f>VLOOKUP(B787,'NOVACART DATA'!$B$2:$M$1001,5,FALSE)</f>
        <v>Email</v>
      </c>
      <c r="F787" s="1">
        <v>3</v>
      </c>
      <c r="G787" s="1">
        <v>38.14</v>
      </c>
      <c r="H787" s="1">
        <v>0</v>
      </c>
      <c r="I787" s="17">
        <f t="shared" si="12"/>
        <v>114.42</v>
      </c>
      <c r="J787" s="1">
        <f>VLOOKUP(B787,'NOVACART DATA'!$B$2:$N$1001,13,FALSE)</f>
        <v>0</v>
      </c>
    </row>
    <row r="788" spans="1:10">
      <c r="A788" s="2">
        <f>VLOOKUP(B788,CHOOSE({1,2},'NOVACART DATA'!$B$2:$B$1001,'NOVACART DATA'!$A$2:$A$1001),2,FALSE)</f>
        <v>46357</v>
      </c>
      <c r="B788" s="1">
        <v>1399</v>
      </c>
      <c r="C788" s="1">
        <f>VLOOKUP(B788,'NOVACART DATA'!$B$2:$C$1000,2,FALSE)</f>
        <v>102</v>
      </c>
      <c r="D788" s="1">
        <v>29</v>
      </c>
      <c r="E788" s="1" t="str">
        <f>VLOOKUP(B788,'NOVACART DATA'!$B$2:$M$1001,5,FALSE)</f>
        <v>Email</v>
      </c>
      <c r="F788" s="1">
        <v>2</v>
      </c>
      <c r="G788" s="1">
        <v>45.67</v>
      </c>
      <c r="H788" s="1">
        <v>5</v>
      </c>
      <c r="I788" s="17">
        <f t="shared" si="12"/>
        <v>86.772999999999996</v>
      </c>
      <c r="J788" s="1">
        <f>VLOOKUP(B788,'NOVACART DATA'!$B$2:$N$1001,13,FALSE)</f>
        <v>0</v>
      </c>
    </row>
    <row r="789" spans="1:10">
      <c r="A789" s="2">
        <f>VLOOKUP(B789,CHOOSE({1,2},'NOVACART DATA'!$B$2:$B$1001,'NOVACART DATA'!$A$2:$A$1001),2,FALSE)</f>
        <v>46357</v>
      </c>
      <c r="B789" s="1">
        <v>1399</v>
      </c>
      <c r="C789" s="1">
        <f>VLOOKUP(B789,'NOVACART DATA'!$B$2:$C$1000,2,FALSE)</f>
        <v>102</v>
      </c>
      <c r="D789" s="1">
        <v>7</v>
      </c>
      <c r="E789" s="1" t="str">
        <f>VLOOKUP(B789,'NOVACART DATA'!$B$2:$M$1001,5,FALSE)</f>
        <v>Email</v>
      </c>
      <c r="F789" s="1">
        <v>1</v>
      </c>
      <c r="G789" s="1">
        <v>79.39</v>
      </c>
      <c r="H789" s="1">
        <v>0</v>
      </c>
      <c r="I789" s="17">
        <f t="shared" si="12"/>
        <v>79.39</v>
      </c>
      <c r="J789" s="1">
        <f>VLOOKUP(B789,'NOVACART DATA'!$B$2:$N$1001,13,FALSE)</f>
        <v>0</v>
      </c>
    </row>
    <row r="790" spans="1:10">
      <c r="A790" s="2">
        <f>VLOOKUP(B790,CHOOSE({1,2},'NOVACART DATA'!$B$2:$B$1001,'NOVACART DATA'!$A$2:$A$1001),2,FALSE)</f>
        <v>46048</v>
      </c>
      <c r="B790" s="1">
        <v>1432</v>
      </c>
      <c r="C790" s="1">
        <f>VLOOKUP(B790,'NOVACART DATA'!$B$2:$C$1000,2,FALSE)</f>
        <v>102</v>
      </c>
      <c r="D790" s="1">
        <v>21</v>
      </c>
      <c r="E790" s="1" t="str">
        <f>VLOOKUP(B790,'NOVACART DATA'!$B$2:$M$1001,5,FALSE)</f>
        <v>Email</v>
      </c>
      <c r="F790" s="1">
        <v>1</v>
      </c>
      <c r="G790" s="1">
        <v>49.37</v>
      </c>
      <c r="H790" s="1">
        <v>15</v>
      </c>
      <c r="I790" s="17">
        <f t="shared" si="12"/>
        <v>41.964499999999994</v>
      </c>
      <c r="J790" s="1">
        <f>VLOOKUP(B790,'NOVACART DATA'!$B$2:$N$1001,13,FALSE)</f>
        <v>0</v>
      </c>
    </row>
    <row r="791" spans="1:10">
      <c r="A791" s="2">
        <f>VLOOKUP(B791,CHOOSE({1,2},'NOVACART DATA'!$B$2:$B$1001,'NOVACART DATA'!$A$2:$A$1001),2,FALSE)</f>
        <v>46048</v>
      </c>
      <c r="B791" s="1">
        <v>1432</v>
      </c>
      <c r="C791" s="1">
        <f>VLOOKUP(B791,'NOVACART DATA'!$B$2:$C$1000,2,FALSE)</f>
        <v>102</v>
      </c>
      <c r="D791" s="1">
        <v>8</v>
      </c>
      <c r="E791" s="1" t="str">
        <f>VLOOKUP(B791,'NOVACART DATA'!$B$2:$M$1001,5,FALSE)</f>
        <v>Email</v>
      </c>
      <c r="F791" s="1">
        <v>1</v>
      </c>
      <c r="G791" s="1">
        <v>16.72</v>
      </c>
      <c r="H791" s="1">
        <v>10</v>
      </c>
      <c r="I791" s="17">
        <f t="shared" si="12"/>
        <v>15.048</v>
      </c>
      <c r="J791" s="1">
        <f>VLOOKUP(B791,'NOVACART DATA'!$B$2:$N$1001,13,FALSE)</f>
        <v>0</v>
      </c>
    </row>
    <row r="792" spans="1:10">
      <c r="A792" s="2">
        <f>VLOOKUP(B792,CHOOSE({1,2},'NOVACART DATA'!$B$2:$B$1001,'NOVACART DATA'!$A$2:$A$1001),2,FALSE)</f>
        <v>46328</v>
      </c>
      <c r="B792" s="1">
        <v>1475</v>
      </c>
      <c r="C792" s="1">
        <f>VLOOKUP(B792,'NOVACART DATA'!$B$2:$C$1000,2,FALSE)</f>
        <v>102</v>
      </c>
      <c r="D792" s="1">
        <v>20</v>
      </c>
      <c r="E792" s="1" t="str">
        <f>VLOOKUP(B792,'NOVACART DATA'!$B$2:$M$1001,5,FALSE)</f>
        <v>Email</v>
      </c>
      <c r="F792" s="1">
        <v>1</v>
      </c>
      <c r="G792" s="1">
        <v>32.76</v>
      </c>
      <c r="H792" s="1">
        <v>25</v>
      </c>
      <c r="I792" s="17">
        <f t="shared" si="12"/>
        <v>24.57</v>
      </c>
      <c r="J792" s="1">
        <f>VLOOKUP(B792,'NOVACART DATA'!$B$2:$N$1001,13,FALSE)</f>
        <v>1</v>
      </c>
    </row>
    <row r="793" spans="1:10">
      <c r="A793" s="2">
        <f>VLOOKUP(B793,CHOOSE({1,2},'NOVACART DATA'!$B$2:$B$1001,'NOVACART DATA'!$A$2:$A$1001),2,FALSE)</f>
        <v>46328</v>
      </c>
      <c r="B793" s="1">
        <v>1475</v>
      </c>
      <c r="C793" s="1">
        <f>VLOOKUP(B793,'NOVACART DATA'!$B$2:$C$1000,2,FALSE)</f>
        <v>102</v>
      </c>
      <c r="D793" s="1">
        <v>1</v>
      </c>
      <c r="E793" s="1" t="str">
        <f>VLOOKUP(B793,'NOVACART DATA'!$B$2:$M$1001,5,FALSE)</f>
        <v>Email</v>
      </c>
      <c r="F793" s="1">
        <v>3</v>
      </c>
      <c r="G793" s="1">
        <v>47.45</v>
      </c>
      <c r="H793" s="1">
        <v>10</v>
      </c>
      <c r="I793" s="17">
        <f t="shared" si="12"/>
        <v>128.11500000000004</v>
      </c>
      <c r="J793" s="1">
        <f>VLOOKUP(B793,'NOVACART DATA'!$B$2:$N$1001,13,FALSE)</f>
        <v>1</v>
      </c>
    </row>
    <row r="794" spans="1:10">
      <c r="A794" s="2">
        <f>VLOOKUP(B794,CHOOSE({1,2},'NOVACART DATA'!$B$2:$B$1001,'NOVACART DATA'!$A$2:$A$1001),2,FALSE)</f>
        <v>46071</v>
      </c>
      <c r="B794" s="1">
        <v>1499</v>
      </c>
      <c r="C794" s="1">
        <f>VLOOKUP(B794,'NOVACART DATA'!$B$2:$C$1000,2,FALSE)</f>
        <v>102</v>
      </c>
      <c r="D794" s="1">
        <v>40</v>
      </c>
      <c r="E794" s="1" t="str">
        <f>VLOOKUP(B794,'NOVACART DATA'!$B$2:$M$1001,5,FALSE)</f>
        <v>Email</v>
      </c>
      <c r="F794" s="1">
        <v>1</v>
      </c>
      <c r="G794" s="1">
        <v>47.25</v>
      </c>
      <c r="H794" s="1">
        <v>0</v>
      </c>
      <c r="I794" s="17">
        <f t="shared" si="12"/>
        <v>47.25</v>
      </c>
      <c r="J794" s="1">
        <f>VLOOKUP(B794,'NOVACART DATA'!$B$2:$N$1001,13,FALSE)</f>
        <v>0</v>
      </c>
    </row>
    <row r="795" spans="1:10">
      <c r="A795" s="2">
        <f>VLOOKUP(B795,CHOOSE({1,2},'NOVACART DATA'!$B$2:$B$1001,'NOVACART DATA'!$A$2:$A$1001),2,FALSE)</f>
        <v>46071</v>
      </c>
      <c r="B795" s="1">
        <v>1499</v>
      </c>
      <c r="C795" s="1">
        <f>VLOOKUP(B795,'NOVACART DATA'!$B$2:$C$1000,2,FALSE)</f>
        <v>102</v>
      </c>
      <c r="D795" s="1">
        <v>8</v>
      </c>
      <c r="E795" s="1" t="str">
        <f>VLOOKUP(B795,'NOVACART DATA'!$B$2:$M$1001,5,FALSE)</f>
        <v>Email</v>
      </c>
      <c r="F795" s="1">
        <v>1</v>
      </c>
      <c r="G795" s="1">
        <v>16.72</v>
      </c>
      <c r="H795" s="1">
        <v>5</v>
      </c>
      <c r="I795" s="17">
        <f t="shared" si="12"/>
        <v>15.883999999999999</v>
      </c>
      <c r="J795" s="1">
        <f>VLOOKUP(B795,'NOVACART DATA'!$B$2:$N$1001,13,FALSE)</f>
        <v>0</v>
      </c>
    </row>
    <row r="796" spans="1:10">
      <c r="A796" s="2">
        <f>VLOOKUP(B796,CHOOSE({1,2},'NOVACART DATA'!$B$2:$B$1001,'NOVACART DATA'!$A$2:$A$1001),2,FALSE)</f>
        <v>46071</v>
      </c>
      <c r="B796" s="1">
        <v>1499</v>
      </c>
      <c r="C796" s="1">
        <f>VLOOKUP(B796,'NOVACART DATA'!$B$2:$C$1000,2,FALSE)</f>
        <v>102</v>
      </c>
      <c r="D796" s="1">
        <v>16</v>
      </c>
      <c r="E796" s="1" t="str">
        <f>VLOOKUP(B796,'NOVACART DATA'!$B$2:$M$1001,5,FALSE)</f>
        <v>Email</v>
      </c>
      <c r="F796" s="1">
        <v>1</v>
      </c>
      <c r="G796" s="1">
        <v>11.81</v>
      </c>
      <c r="H796" s="1">
        <v>5</v>
      </c>
      <c r="I796" s="17">
        <f t="shared" si="12"/>
        <v>11.2195</v>
      </c>
      <c r="J796" s="1">
        <f>VLOOKUP(B796,'NOVACART DATA'!$B$2:$N$1001,13,FALSE)</f>
        <v>0</v>
      </c>
    </row>
    <row r="797" spans="1:10">
      <c r="A797" s="2">
        <f>VLOOKUP(B797,CHOOSE({1,2},'NOVACART DATA'!$B$2:$B$1001,'NOVACART DATA'!$A$2:$A$1001),2,FALSE)</f>
        <v>46071</v>
      </c>
      <c r="B797" s="1">
        <v>1499</v>
      </c>
      <c r="C797" s="1">
        <f>VLOOKUP(B797,'NOVACART DATA'!$B$2:$C$1000,2,FALSE)</f>
        <v>102</v>
      </c>
      <c r="D797" s="1">
        <v>40</v>
      </c>
      <c r="E797" s="1" t="str">
        <f>VLOOKUP(B797,'NOVACART DATA'!$B$2:$M$1001,5,FALSE)</f>
        <v>Email</v>
      </c>
      <c r="F797" s="1">
        <v>1</v>
      </c>
      <c r="G797" s="1">
        <v>47.25</v>
      </c>
      <c r="H797" s="1">
        <v>0</v>
      </c>
      <c r="I797" s="17">
        <f t="shared" si="12"/>
        <v>47.25</v>
      </c>
      <c r="J797" s="1">
        <f>VLOOKUP(B797,'NOVACART DATA'!$B$2:$N$1001,13,FALSE)</f>
        <v>0</v>
      </c>
    </row>
    <row r="798" spans="1:10">
      <c r="A798" s="2">
        <f>VLOOKUP(B798,CHOOSE({1,2},'NOVACART DATA'!$B$2:$B$1001,'NOVACART DATA'!$A$2:$A$1001),2,FALSE)</f>
        <v>45947</v>
      </c>
      <c r="B798" s="1">
        <v>1020</v>
      </c>
      <c r="C798" s="1">
        <f>VLOOKUP(B798,'NOVACART DATA'!$B$2:$C$1000,2,FALSE)</f>
        <v>103</v>
      </c>
      <c r="D798" s="1">
        <v>19</v>
      </c>
      <c r="E798" s="1" t="str">
        <f>VLOOKUP(B798,'NOVACART DATA'!$B$2:$M$1001,5,FALSE)</f>
        <v>Paid Search</v>
      </c>
      <c r="F798" s="1">
        <v>1</v>
      </c>
      <c r="G798" s="1">
        <v>50.14</v>
      </c>
      <c r="H798" s="1">
        <v>5</v>
      </c>
      <c r="I798" s="17">
        <f t="shared" si="12"/>
        <v>47.632999999999996</v>
      </c>
      <c r="J798" s="1">
        <f>VLOOKUP(B798,'NOVACART DATA'!$B$2:$N$1001,13,FALSE)</f>
        <v>0</v>
      </c>
    </row>
    <row r="799" spans="1:10">
      <c r="A799" s="2">
        <f>VLOOKUP(B799,CHOOSE({1,2},'NOVACART DATA'!$B$2:$B$1001,'NOVACART DATA'!$A$2:$A$1001),2,FALSE)</f>
        <v>45947</v>
      </c>
      <c r="B799" s="1">
        <v>1020</v>
      </c>
      <c r="C799" s="1">
        <f>VLOOKUP(B799,'NOVACART DATA'!$B$2:$C$1000,2,FALSE)</f>
        <v>103</v>
      </c>
      <c r="D799" s="1">
        <v>11</v>
      </c>
      <c r="E799" s="1" t="str">
        <f>VLOOKUP(B799,'NOVACART DATA'!$B$2:$M$1001,5,FALSE)</f>
        <v>Paid Search</v>
      </c>
      <c r="F799" s="1">
        <v>1</v>
      </c>
      <c r="G799" s="1">
        <v>58.35</v>
      </c>
      <c r="H799" s="1">
        <v>10</v>
      </c>
      <c r="I799" s="17">
        <f t="shared" si="12"/>
        <v>52.515000000000001</v>
      </c>
      <c r="J799" s="1">
        <f>VLOOKUP(B799,'NOVACART DATA'!$B$2:$N$1001,13,FALSE)</f>
        <v>0</v>
      </c>
    </row>
    <row r="800" spans="1:10">
      <c r="A800" s="2">
        <f>VLOOKUP(B800,CHOOSE({1,2},'NOVACART DATA'!$B$2:$B$1001,'NOVACART DATA'!$A$2:$A$1001),2,FALSE)</f>
        <v>45668</v>
      </c>
      <c r="B800" s="1">
        <v>1070</v>
      </c>
      <c r="C800" s="1">
        <f>VLOOKUP(B800,'NOVACART DATA'!$B$2:$C$1000,2,FALSE)</f>
        <v>103</v>
      </c>
      <c r="D800" s="1">
        <v>5</v>
      </c>
      <c r="E800" s="1" t="str">
        <f>VLOOKUP(B800,'NOVACART DATA'!$B$2:$M$1001,5,FALSE)</f>
        <v>Paid Search</v>
      </c>
      <c r="F800" s="1">
        <v>1</v>
      </c>
      <c r="G800" s="1">
        <v>42.53</v>
      </c>
      <c r="H800" s="1">
        <v>5</v>
      </c>
      <c r="I800" s="17">
        <f t="shared" si="12"/>
        <v>40.403500000000001</v>
      </c>
      <c r="J800" s="1">
        <f>VLOOKUP(B800,'NOVACART DATA'!$B$2:$N$1001,13,FALSE)</f>
        <v>0</v>
      </c>
    </row>
    <row r="801" spans="1:10">
      <c r="A801" s="2">
        <f>VLOOKUP(B801,CHOOSE({1,2},'NOVACART DATA'!$B$2:$B$1001,'NOVACART DATA'!$A$2:$A$1001),2,FALSE)</f>
        <v>45911</v>
      </c>
      <c r="B801" s="1">
        <v>1102</v>
      </c>
      <c r="C801" s="1">
        <f>VLOOKUP(B801,'NOVACART DATA'!$B$2:$C$1000,2,FALSE)</f>
        <v>103</v>
      </c>
      <c r="D801" s="1">
        <v>33</v>
      </c>
      <c r="E801" s="1" t="str">
        <f>VLOOKUP(B801,'NOVACART DATA'!$B$2:$M$1001,5,FALSE)</f>
        <v>Paid Search</v>
      </c>
      <c r="F801" s="1">
        <v>1</v>
      </c>
      <c r="G801" s="1">
        <v>40.94</v>
      </c>
      <c r="H801" s="1">
        <v>5</v>
      </c>
      <c r="I801" s="17">
        <f t="shared" si="12"/>
        <v>38.892999999999994</v>
      </c>
      <c r="J801" s="1">
        <f>VLOOKUP(B801,'NOVACART DATA'!$B$2:$N$1001,13,FALSE)</f>
        <v>0</v>
      </c>
    </row>
    <row r="802" spans="1:10">
      <c r="A802" s="2">
        <f>VLOOKUP(B802,CHOOSE({1,2},'NOVACART DATA'!$B$2:$B$1001,'NOVACART DATA'!$A$2:$A$1001),2,FALSE)</f>
        <v>45941</v>
      </c>
      <c r="B802" s="1">
        <v>1106</v>
      </c>
      <c r="C802" s="1">
        <f>VLOOKUP(B802,'NOVACART DATA'!$B$2:$C$1000,2,FALSE)</f>
        <v>103</v>
      </c>
      <c r="D802" s="1">
        <v>4</v>
      </c>
      <c r="E802" s="1" t="str">
        <f>VLOOKUP(B802,'NOVACART DATA'!$B$2:$M$1001,5,FALSE)</f>
        <v>Paid Search</v>
      </c>
      <c r="F802" s="1">
        <v>2</v>
      </c>
      <c r="G802" s="1">
        <v>34.83</v>
      </c>
      <c r="H802" s="1">
        <v>25</v>
      </c>
      <c r="I802" s="17">
        <f t="shared" si="12"/>
        <v>52.244999999999997</v>
      </c>
      <c r="J802" s="1">
        <f>VLOOKUP(B802,'NOVACART DATA'!$B$2:$N$1001,13,FALSE)</f>
        <v>0</v>
      </c>
    </row>
    <row r="803" spans="1:10">
      <c r="A803" s="2">
        <f>VLOOKUP(B803,CHOOSE({1,2},'NOVACART DATA'!$B$2:$B$1001,'NOVACART DATA'!$A$2:$A$1001),2,FALSE)</f>
        <v>45979</v>
      </c>
      <c r="B803" s="1">
        <v>1148</v>
      </c>
      <c r="C803" s="1">
        <f>VLOOKUP(B803,'NOVACART DATA'!$B$2:$C$1000,2,FALSE)</f>
        <v>103</v>
      </c>
      <c r="D803" s="1">
        <v>40</v>
      </c>
      <c r="E803" s="1" t="str">
        <f>VLOOKUP(B803,'NOVACART DATA'!$B$2:$M$1001,5,FALSE)</f>
        <v>Paid Search</v>
      </c>
      <c r="F803" s="1">
        <v>3</v>
      </c>
      <c r="G803" s="1">
        <v>38.869999999999997</v>
      </c>
      <c r="H803" s="1">
        <v>0</v>
      </c>
      <c r="I803" s="17">
        <f t="shared" si="12"/>
        <v>116.60999999999999</v>
      </c>
      <c r="J803" s="1">
        <f>VLOOKUP(B803,'NOVACART DATA'!$B$2:$N$1001,13,FALSE)</f>
        <v>0</v>
      </c>
    </row>
    <row r="804" spans="1:10">
      <c r="A804" s="2">
        <f>VLOOKUP(B804,CHOOSE({1,2},'NOVACART DATA'!$B$2:$B$1001,'NOVACART DATA'!$A$2:$A$1001),2,FALSE)</f>
        <v>45979</v>
      </c>
      <c r="B804" s="1">
        <v>1148</v>
      </c>
      <c r="C804" s="1">
        <f>VLOOKUP(B804,'NOVACART DATA'!$B$2:$C$1000,2,FALSE)</f>
        <v>103</v>
      </c>
      <c r="D804" s="1">
        <v>7</v>
      </c>
      <c r="E804" s="1" t="str">
        <f>VLOOKUP(B804,'NOVACART DATA'!$B$2:$M$1001,5,FALSE)</f>
        <v>Paid Search</v>
      </c>
      <c r="F804" s="1">
        <v>1</v>
      </c>
      <c r="G804" s="1">
        <v>79.39</v>
      </c>
      <c r="H804" s="1">
        <v>0</v>
      </c>
      <c r="I804" s="17">
        <f t="shared" si="12"/>
        <v>79.39</v>
      </c>
      <c r="J804" s="1">
        <f>VLOOKUP(B804,'NOVACART DATA'!$B$2:$N$1001,13,FALSE)</f>
        <v>0</v>
      </c>
    </row>
    <row r="805" spans="1:10">
      <c r="A805" s="2">
        <f>VLOOKUP(B805,CHOOSE({1,2},'NOVACART DATA'!$B$2:$B$1001,'NOVACART DATA'!$A$2:$A$1001),2,FALSE)</f>
        <v>45984</v>
      </c>
      <c r="B805" s="1">
        <v>1170</v>
      </c>
      <c r="C805" s="1">
        <f>VLOOKUP(B805,'NOVACART DATA'!$B$2:$C$1000,2,FALSE)</f>
        <v>103</v>
      </c>
      <c r="D805" s="1">
        <v>17</v>
      </c>
      <c r="E805" s="1" t="str">
        <f>VLOOKUP(B805,'NOVACART DATA'!$B$2:$M$1001,5,FALSE)</f>
        <v>Paid Search</v>
      </c>
      <c r="F805" s="1">
        <v>1</v>
      </c>
      <c r="G805" s="1">
        <v>6.61</v>
      </c>
      <c r="H805" s="1">
        <v>0</v>
      </c>
      <c r="I805" s="17">
        <f t="shared" si="12"/>
        <v>6.61</v>
      </c>
      <c r="J805" s="1">
        <f>VLOOKUP(B805,'NOVACART DATA'!$B$2:$N$1001,13,FALSE)</f>
        <v>0</v>
      </c>
    </row>
    <row r="806" spans="1:10">
      <c r="A806" s="2">
        <f>VLOOKUP(B806,CHOOSE({1,2},'NOVACART DATA'!$B$2:$B$1001,'NOVACART DATA'!$A$2:$A$1001),2,FALSE)</f>
        <v>45984</v>
      </c>
      <c r="B806" s="1">
        <v>1170</v>
      </c>
      <c r="C806" s="1">
        <f>VLOOKUP(B806,'NOVACART DATA'!$B$2:$C$1000,2,FALSE)</f>
        <v>103</v>
      </c>
      <c r="D806" s="1">
        <v>29</v>
      </c>
      <c r="E806" s="1" t="str">
        <f>VLOOKUP(B806,'NOVACART DATA'!$B$2:$M$1001,5,FALSE)</f>
        <v>Paid Search</v>
      </c>
      <c r="F806" s="1">
        <v>1</v>
      </c>
      <c r="G806" s="1">
        <v>45.67</v>
      </c>
      <c r="H806" s="1">
        <v>5</v>
      </c>
      <c r="I806" s="17">
        <f t="shared" si="12"/>
        <v>43.386499999999998</v>
      </c>
      <c r="J806" s="1">
        <f>VLOOKUP(B806,'NOVACART DATA'!$B$2:$N$1001,13,FALSE)</f>
        <v>0</v>
      </c>
    </row>
    <row r="807" spans="1:10">
      <c r="A807" s="2">
        <f>VLOOKUP(B807,CHOOSE({1,2},'NOVACART DATA'!$B$2:$B$1001,'NOVACART DATA'!$A$2:$A$1001),2,FALSE)</f>
        <v>45984</v>
      </c>
      <c r="B807" s="1">
        <v>1170</v>
      </c>
      <c r="C807" s="1">
        <f>VLOOKUP(B807,'NOVACART DATA'!$B$2:$C$1000,2,FALSE)</f>
        <v>103</v>
      </c>
      <c r="D807" s="1">
        <v>16</v>
      </c>
      <c r="E807" s="1" t="str">
        <f>VLOOKUP(B807,'NOVACART DATA'!$B$2:$M$1001,5,FALSE)</f>
        <v>Paid Search</v>
      </c>
      <c r="F807" s="1">
        <v>1</v>
      </c>
      <c r="G807" s="1">
        <v>11.81</v>
      </c>
      <c r="H807" s="1">
        <v>10</v>
      </c>
      <c r="I807" s="17">
        <f t="shared" si="12"/>
        <v>10.629000000000001</v>
      </c>
      <c r="J807" s="1">
        <f>VLOOKUP(B807,'NOVACART DATA'!$B$2:$N$1001,13,FALSE)</f>
        <v>0</v>
      </c>
    </row>
    <row r="808" spans="1:10">
      <c r="A808" s="2">
        <f>VLOOKUP(B808,CHOOSE({1,2},'NOVACART DATA'!$B$2:$B$1001,'NOVACART DATA'!$A$2:$A$1001),2,FALSE)</f>
        <v>45984</v>
      </c>
      <c r="B808" s="1">
        <v>1170</v>
      </c>
      <c r="C808" s="1">
        <f>VLOOKUP(B808,'NOVACART DATA'!$B$2:$C$1000,2,FALSE)</f>
        <v>103</v>
      </c>
      <c r="D808" s="1">
        <v>20</v>
      </c>
      <c r="E808" s="1" t="str">
        <f>VLOOKUP(B808,'NOVACART DATA'!$B$2:$M$1001,5,FALSE)</f>
        <v>Paid Search</v>
      </c>
      <c r="F808" s="1">
        <v>1</v>
      </c>
      <c r="G808" s="1">
        <v>32.76</v>
      </c>
      <c r="H808" s="1">
        <v>5.5</v>
      </c>
      <c r="I808" s="17">
        <f t="shared" si="12"/>
        <v>30.958199999999998</v>
      </c>
      <c r="J808" s="1">
        <f>VLOOKUP(B808,'NOVACART DATA'!$B$2:$N$1001,13,FALSE)</f>
        <v>0</v>
      </c>
    </row>
    <row r="809" spans="1:10">
      <c r="A809" s="2">
        <f>VLOOKUP(B809,CHOOSE({1,2},'NOVACART DATA'!$B$2:$B$1001,'NOVACART DATA'!$A$2:$A$1001),2,FALSE)</f>
        <v>45986</v>
      </c>
      <c r="B809" s="1">
        <v>1177</v>
      </c>
      <c r="C809" s="1">
        <f>VLOOKUP(B809,'NOVACART DATA'!$B$2:$C$1000,2,FALSE)</f>
        <v>103</v>
      </c>
      <c r="D809" s="1">
        <v>13</v>
      </c>
      <c r="E809" s="1" t="str">
        <f>VLOOKUP(B809,'NOVACART DATA'!$B$2:$M$1001,5,FALSE)</f>
        <v>Paid Search</v>
      </c>
      <c r="F809" s="1">
        <v>1</v>
      </c>
      <c r="G809" s="1">
        <v>54.9</v>
      </c>
      <c r="H809" s="1">
        <v>0</v>
      </c>
      <c r="I809" s="17">
        <f t="shared" si="12"/>
        <v>54.9</v>
      </c>
      <c r="J809" s="1">
        <f>VLOOKUP(B809,'NOVACART DATA'!$B$2:$N$1001,13,FALSE)</f>
        <v>0</v>
      </c>
    </row>
    <row r="810" spans="1:10">
      <c r="A810" s="2">
        <f>VLOOKUP(B810,CHOOSE({1,2},'NOVACART DATA'!$B$2:$B$1001,'NOVACART DATA'!$A$2:$A$1001),2,FALSE)</f>
        <v>45669</v>
      </c>
      <c r="B810" s="1">
        <v>1210</v>
      </c>
      <c r="C810" s="1">
        <f>VLOOKUP(B810,'NOVACART DATA'!$B$2:$C$1000,2,FALSE)</f>
        <v>103</v>
      </c>
      <c r="D810" s="1">
        <v>10</v>
      </c>
      <c r="E810" s="1" t="str">
        <f>VLOOKUP(B810,'NOVACART DATA'!$B$2:$M$1001,5,FALSE)</f>
        <v>Paid Search</v>
      </c>
      <c r="F810" s="1">
        <v>3</v>
      </c>
      <c r="G810" s="1">
        <v>62.68</v>
      </c>
      <c r="H810" s="1">
        <v>0</v>
      </c>
      <c r="I810" s="17">
        <f t="shared" si="12"/>
        <v>188.04</v>
      </c>
      <c r="J810" s="1">
        <f>VLOOKUP(B810,'NOVACART DATA'!$B$2:$N$1001,13,FALSE)</f>
        <v>0</v>
      </c>
    </row>
    <row r="811" spans="1:10">
      <c r="A811" s="2">
        <f>VLOOKUP(B811,CHOOSE({1,2},'NOVACART DATA'!$B$2:$B$1001,'NOVACART DATA'!$A$2:$A$1001),2,FALSE)</f>
        <v>46004</v>
      </c>
      <c r="B811" s="1">
        <v>1272</v>
      </c>
      <c r="C811" s="1">
        <f>VLOOKUP(B811,'NOVACART DATA'!$B$2:$C$1000,2,FALSE)</f>
        <v>103</v>
      </c>
      <c r="D811" s="1">
        <v>4</v>
      </c>
      <c r="E811" s="1" t="str">
        <f>VLOOKUP(B811,'NOVACART DATA'!$B$2:$M$1001,5,FALSE)</f>
        <v>Paid Search</v>
      </c>
      <c r="F811" s="1">
        <v>1</v>
      </c>
      <c r="G811" s="1">
        <v>34.83</v>
      </c>
      <c r="H811" s="1">
        <v>20</v>
      </c>
      <c r="I811" s="17">
        <f t="shared" si="12"/>
        <v>27.864000000000001</v>
      </c>
      <c r="J811" s="1">
        <f>VLOOKUP(B811,'NOVACART DATA'!$B$2:$N$1001,13,FALSE)</f>
        <v>0</v>
      </c>
    </row>
    <row r="812" spans="1:10">
      <c r="A812" s="2">
        <f>VLOOKUP(B812,CHOOSE({1,2},'NOVACART DATA'!$B$2:$B$1001,'NOVACART DATA'!$A$2:$A$1001),2,FALSE)</f>
        <v>46008</v>
      </c>
      <c r="B812" s="1">
        <v>1291</v>
      </c>
      <c r="C812" s="1">
        <f>VLOOKUP(B812,'NOVACART DATA'!$B$2:$C$1000,2,FALSE)</f>
        <v>103</v>
      </c>
      <c r="D812" s="1">
        <v>23</v>
      </c>
      <c r="E812" s="1" t="str">
        <f>VLOOKUP(B812,'NOVACART DATA'!$B$2:$M$1001,5,FALSE)</f>
        <v>Paid Search</v>
      </c>
      <c r="F812" s="1">
        <v>2</v>
      </c>
      <c r="G812" s="1">
        <v>38.14</v>
      </c>
      <c r="H812" s="1">
        <v>0</v>
      </c>
      <c r="I812" s="17">
        <f t="shared" si="12"/>
        <v>76.28</v>
      </c>
      <c r="J812" s="1">
        <f>VLOOKUP(B812,'NOVACART DATA'!$B$2:$N$1001,13,FALSE)</f>
        <v>0</v>
      </c>
    </row>
    <row r="813" spans="1:10">
      <c r="A813" s="2">
        <f>VLOOKUP(B813,CHOOSE({1,2},'NOVACART DATA'!$B$2:$B$1001,'NOVACART DATA'!$A$2:$A$1001),2,FALSE)</f>
        <v>46008</v>
      </c>
      <c r="B813" s="1">
        <v>1291</v>
      </c>
      <c r="C813" s="1">
        <f>VLOOKUP(B813,'NOVACART DATA'!$B$2:$C$1000,2,FALSE)</f>
        <v>103</v>
      </c>
      <c r="D813" s="1">
        <v>15</v>
      </c>
      <c r="E813" s="1" t="str">
        <f>VLOOKUP(B813,'NOVACART DATA'!$B$2:$M$1001,5,FALSE)</f>
        <v>Paid Search</v>
      </c>
      <c r="F813" s="1">
        <v>1</v>
      </c>
      <c r="G813" s="1">
        <v>47.71</v>
      </c>
      <c r="H813" s="1">
        <v>10</v>
      </c>
      <c r="I813" s="17">
        <f t="shared" si="12"/>
        <v>42.939</v>
      </c>
      <c r="J813" s="1">
        <f>VLOOKUP(B813,'NOVACART DATA'!$B$2:$N$1001,13,FALSE)</f>
        <v>0</v>
      </c>
    </row>
    <row r="814" spans="1:10">
      <c r="A814" s="2">
        <f>VLOOKUP(B814,CHOOSE({1,2},'NOVACART DATA'!$B$2:$B$1001,'NOVACART DATA'!$A$2:$A$1001),2,FALSE)</f>
        <v>46008</v>
      </c>
      <c r="B814" s="1">
        <v>1291</v>
      </c>
      <c r="C814" s="1">
        <f>VLOOKUP(B814,'NOVACART DATA'!$B$2:$C$1000,2,FALSE)</f>
        <v>103</v>
      </c>
      <c r="D814" s="1">
        <v>34</v>
      </c>
      <c r="E814" s="1" t="str">
        <f>VLOOKUP(B814,'NOVACART DATA'!$B$2:$M$1001,5,FALSE)</f>
        <v>Paid Search</v>
      </c>
      <c r="F814" s="1">
        <v>1</v>
      </c>
      <c r="G814" s="1">
        <v>58.26</v>
      </c>
      <c r="H814" s="1">
        <v>5</v>
      </c>
      <c r="I814" s="17">
        <f t="shared" si="12"/>
        <v>55.346999999999994</v>
      </c>
      <c r="J814" s="1">
        <f>VLOOKUP(B814,'NOVACART DATA'!$B$2:$N$1001,13,FALSE)</f>
        <v>0</v>
      </c>
    </row>
    <row r="815" spans="1:10">
      <c r="A815" s="2">
        <f>VLOOKUP(B815,CHOOSE({1,2},'NOVACART DATA'!$B$2:$B$1001,'NOVACART DATA'!$A$2:$A$1001),2,FALSE)</f>
        <v>46012</v>
      </c>
      <c r="B815" s="1">
        <v>1304</v>
      </c>
      <c r="C815" s="1">
        <f>VLOOKUP(B815,'NOVACART DATA'!$B$2:$C$1000,2,FALSE)</f>
        <v>103</v>
      </c>
      <c r="D815" s="1">
        <v>32</v>
      </c>
      <c r="E815" s="1" t="str">
        <f>VLOOKUP(B815,'NOVACART DATA'!$B$2:$M$1001,5,FALSE)</f>
        <v>Paid Search</v>
      </c>
      <c r="F815" s="1">
        <v>1</v>
      </c>
      <c r="G815" s="1">
        <v>61.06</v>
      </c>
      <c r="H815" s="1">
        <v>5</v>
      </c>
      <c r="I815" s="17">
        <f t="shared" si="12"/>
        <v>58.006999999999998</v>
      </c>
      <c r="J815" s="1">
        <f>VLOOKUP(B815,'NOVACART DATA'!$B$2:$N$1001,13,FALSE)</f>
        <v>0</v>
      </c>
    </row>
    <row r="816" spans="1:10">
      <c r="A816" s="2">
        <f>VLOOKUP(B816,CHOOSE({1,2},'NOVACART DATA'!$B$2:$B$1001,'NOVACART DATA'!$A$2:$A$1001),2,FALSE)</f>
        <v>46017</v>
      </c>
      <c r="B816" s="1">
        <v>1333</v>
      </c>
      <c r="C816" s="1">
        <f>VLOOKUP(B816,'NOVACART DATA'!$B$2:$C$1000,2,FALSE)</f>
        <v>103</v>
      </c>
      <c r="D816" s="1">
        <v>16</v>
      </c>
      <c r="E816" s="1" t="str">
        <f>VLOOKUP(B816,'NOVACART DATA'!$B$2:$M$1001,5,FALSE)</f>
        <v>Paid Search</v>
      </c>
      <c r="F816" s="1">
        <v>1</v>
      </c>
      <c r="G816" s="1">
        <v>11.81</v>
      </c>
      <c r="H816" s="1">
        <v>10</v>
      </c>
      <c r="I816" s="17">
        <f t="shared" si="12"/>
        <v>10.629000000000001</v>
      </c>
      <c r="J816" s="1">
        <f>VLOOKUP(B816,'NOVACART DATA'!$B$2:$N$1001,13,FALSE)</f>
        <v>0</v>
      </c>
    </row>
    <row r="817" spans="1:10">
      <c r="A817" s="2">
        <f>VLOOKUP(B817,CHOOSE({1,2},'NOVACART DATA'!$B$2:$B$1001,'NOVACART DATA'!$A$2:$A$1001),2,FALSE)</f>
        <v>46017</v>
      </c>
      <c r="B817" s="1">
        <v>1333</v>
      </c>
      <c r="C817" s="1">
        <f>VLOOKUP(B817,'NOVACART DATA'!$B$2:$C$1000,2,FALSE)</f>
        <v>103</v>
      </c>
      <c r="D817" s="1">
        <v>10</v>
      </c>
      <c r="E817" s="1" t="str">
        <f>VLOOKUP(B817,'NOVACART DATA'!$B$2:$M$1001,5,FALSE)</f>
        <v>Paid Search</v>
      </c>
      <c r="F817" s="1">
        <v>1</v>
      </c>
      <c r="G817" s="1">
        <v>62.68</v>
      </c>
      <c r="H817" s="1">
        <v>15</v>
      </c>
      <c r="I817" s="17">
        <f t="shared" si="12"/>
        <v>53.277999999999999</v>
      </c>
      <c r="J817" s="1">
        <f>VLOOKUP(B817,'NOVACART DATA'!$B$2:$N$1001,13,FALSE)</f>
        <v>0</v>
      </c>
    </row>
    <row r="818" spans="1:10">
      <c r="A818" s="2">
        <f>VLOOKUP(B818,CHOOSE({1,2},'NOVACART DATA'!$B$2:$B$1001,'NOVACART DATA'!$A$2:$A$1001),2,FALSE)</f>
        <v>46050</v>
      </c>
      <c r="B818" s="1">
        <v>1437</v>
      </c>
      <c r="C818" s="1">
        <f>VLOOKUP(B818,'NOVACART DATA'!$B$2:$C$1000,2,FALSE)</f>
        <v>103</v>
      </c>
      <c r="D818" s="1">
        <v>13</v>
      </c>
      <c r="E818" s="1" t="str">
        <f>VLOOKUP(B818,'NOVACART DATA'!$B$2:$M$1001,5,FALSE)</f>
        <v>Paid Search</v>
      </c>
      <c r="F818" s="1">
        <v>1</v>
      </c>
      <c r="G818" s="1">
        <v>54.9</v>
      </c>
      <c r="H818" s="1">
        <v>5</v>
      </c>
      <c r="I818" s="17">
        <f t="shared" si="12"/>
        <v>52.154999999999994</v>
      </c>
      <c r="J818" s="1">
        <f>VLOOKUP(B818,'NOVACART DATA'!$B$2:$N$1001,13,FALSE)</f>
        <v>0</v>
      </c>
    </row>
    <row r="819" spans="1:10">
      <c r="A819" s="2">
        <f>VLOOKUP(B819,CHOOSE({1,2},'NOVACART DATA'!$B$2:$B$1001,'NOVACART DATA'!$A$2:$A$1001),2,FALSE)</f>
        <v>46016</v>
      </c>
      <c r="B819" s="1">
        <v>1464</v>
      </c>
      <c r="C819" s="1">
        <f>VLOOKUP(B819,'NOVACART DATA'!$B$2:$C$1000,2,FALSE)</f>
        <v>103</v>
      </c>
      <c r="D819" s="1">
        <v>29</v>
      </c>
      <c r="E819" s="1" t="str">
        <f>VLOOKUP(B819,'NOVACART DATA'!$B$2:$M$1001,5,FALSE)</f>
        <v>Paid Search</v>
      </c>
      <c r="F819" s="1">
        <v>2</v>
      </c>
      <c r="G819" s="1">
        <v>45.67</v>
      </c>
      <c r="H819" s="1">
        <v>0</v>
      </c>
      <c r="I819" s="17">
        <f t="shared" si="12"/>
        <v>91.34</v>
      </c>
      <c r="J819" s="1">
        <f>VLOOKUP(B819,'NOVACART DATA'!$B$2:$N$1001,13,FALSE)</f>
        <v>0</v>
      </c>
    </row>
    <row r="820" spans="1:10">
      <c r="A820" s="2">
        <f>VLOOKUP(B820,CHOOSE({1,2},'NOVACART DATA'!$B$2:$B$1001,'NOVACART DATA'!$A$2:$A$1001),2,FALSE)</f>
        <v>46016</v>
      </c>
      <c r="B820" s="1">
        <v>1464</v>
      </c>
      <c r="C820" s="1">
        <f>VLOOKUP(B820,'NOVACART DATA'!$B$2:$C$1000,2,FALSE)</f>
        <v>103</v>
      </c>
      <c r="D820" s="1">
        <v>39</v>
      </c>
      <c r="E820" s="1" t="str">
        <f>VLOOKUP(B820,'NOVACART DATA'!$B$2:$M$1001,5,FALSE)</f>
        <v>Paid Search</v>
      </c>
      <c r="F820" s="1">
        <v>1</v>
      </c>
      <c r="G820" s="1">
        <v>39.979999999999997</v>
      </c>
      <c r="H820" s="1">
        <v>0</v>
      </c>
      <c r="I820" s="17">
        <f t="shared" si="12"/>
        <v>39.979999999999997</v>
      </c>
      <c r="J820" s="1">
        <f>VLOOKUP(B820,'NOVACART DATA'!$B$2:$N$1001,13,FALSE)</f>
        <v>0</v>
      </c>
    </row>
    <row r="821" spans="1:10">
      <c r="A821" s="2">
        <f>VLOOKUP(B821,CHOOSE({1,2},'NOVACART DATA'!$B$2:$B$1001,'NOVACART DATA'!$A$2:$A$1001),2,FALSE)</f>
        <v>46068</v>
      </c>
      <c r="B821" s="1">
        <v>1490</v>
      </c>
      <c r="C821" s="1">
        <f>VLOOKUP(B821,'NOVACART DATA'!$B$2:$C$1000,2,FALSE)</f>
        <v>103</v>
      </c>
      <c r="D821" s="1">
        <v>28</v>
      </c>
      <c r="E821" s="1" t="str">
        <f>VLOOKUP(B821,'NOVACART DATA'!$B$2:$M$1001,5,FALSE)</f>
        <v>Paid Search</v>
      </c>
      <c r="F821" s="1">
        <v>1</v>
      </c>
      <c r="G821" s="1">
        <v>21.24</v>
      </c>
      <c r="H821" s="1">
        <v>20</v>
      </c>
      <c r="I821" s="17">
        <f t="shared" si="12"/>
        <v>16.992000000000001</v>
      </c>
      <c r="J821" s="1">
        <f>VLOOKUP(B821,'NOVACART DATA'!$B$2:$N$1001,13,FALSE)</f>
        <v>0</v>
      </c>
    </row>
    <row r="822" spans="1:10">
      <c r="A822" s="2">
        <f>VLOOKUP(B822,CHOOSE({1,2},'NOVACART DATA'!$B$2:$B$1001,'NOVACART DATA'!$A$2:$A$1001),2,FALSE)</f>
        <v>46068</v>
      </c>
      <c r="B822" s="1">
        <v>1490</v>
      </c>
      <c r="C822" s="1">
        <f>VLOOKUP(B822,'NOVACART DATA'!$B$2:$C$1000,2,FALSE)</f>
        <v>103</v>
      </c>
      <c r="D822" s="1">
        <v>33</v>
      </c>
      <c r="E822" s="1" t="str">
        <f>VLOOKUP(B822,'NOVACART DATA'!$B$2:$M$1001,5,FALSE)</f>
        <v>Paid Search</v>
      </c>
      <c r="F822" s="1">
        <v>1</v>
      </c>
      <c r="G822" s="1">
        <v>40.94</v>
      </c>
      <c r="H822" s="1">
        <v>15</v>
      </c>
      <c r="I822" s="17">
        <f t="shared" si="12"/>
        <v>34.798999999999999</v>
      </c>
      <c r="J822" s="1">
        <f>VLOOKUP(B822,'NOVACART DATA'!$B$2:$N$1001,13,FALSE)</f>
        <v>0</v>
      </c>
    </row>
    <row r="823" spans="1:10">
      <c r="A823" s="2">
        <f>VLOOKUP(B823,CHOOSE({1,2},'NOVACART DATA'!$B$2:$B$1001,'NOVACART DATA'!$A$2:$A$1001),2,FALSE)</f>
        <v>46068</v>
      </c>
      <c r="B823" s="1">
        <v>1490</v>
      </c>
      <c r="C823" s="1">
        <f>VLOOKUP(B823,'NOVACART DATA'!$B$2:$C$1000,2,FALSE)</f>
        <v>103</v>
      </c>
      <c r="D823" s="1">
        <v>11</v>
      </c>
      <c r="E823" s="1" t="str">
        <f>VLOOKUP(B823,'NOVACART DATA'!$B$2:$M$1001,5,FALSE)</f>
        <v>Paid Search</v>
      </c>
      <c r="F823" s="1">
        <v>1</v>
      </c>
      <c r="G823" s="1">
        <v>58.35</v>
      </c>
      <c r="H823" s="1">
        <v>25</v>
      </c>
      <c r="I823" s="17">
        <f t="shared" si="12"/>
        <v>43.762500000000003</v>
      </c>
      <c r="J823" s="1">
        <f>VLOOKUP(B823,'NOVACART DATA'!$B$2:$N$1001,13,FALSE)</f>
        <v>0</v>
      </c>
    </row>
    <row r="824" spans="1:10">
      <c r="A824" s="2">
        <f>VLOOKUP(B824,CHOOSE({1,2},'NOVACART DATA'!$B$2:$B$1001,'NOVACART DATA'!$A$2:$A$1001),2,FALSE)</f>
        <v>46068</v>
      </c>
      <c r="B824" s="1">
        <v>1490</v>
      </c>
      <c r="C824" s="1">
        <f>VLOOKUP(B824,'NOVACART DATA'!$B$2:$C$1000,2,FALSE)</f>
        <v>103</v>
      </c>
      <c r="D824" s="1">
        <v>1</v>
      </c>
      <c r="E824" s="1" t="str">
        <f>VLOOKUP(B824,'NOVACART DATA'!$B$2:$M$1001,5,FALSE)</f>
        <v>Paid Search</v>
      </c>
      <c r="F824" s="1">
        <v>1</v>
      </c>
      <c r="G824" s="1">
        <v>38.869999999999997</v>
      </c>
      <c r="H824" s="1">
        <v>10</v>
      </c>
      <c r="I824" s="17">
        <f t="shared" si="12"/>
        <v>34.982999999999997</v>
      </c>
      <c r="J824" s="1">
        <f>VLOOKUP(B824,'NOVACART DATA'!$B$2:$N$1001,13,FALSE)</f>
        <v>0</v>
      </c>
    </row>
    <row r="825" spans="1:10">
      <c r="A825" s="2">
        <f>VLOOKUP(B825,CHOOSE({1,2},'NOVACART DATA'!$B$2:$B$1001,'NOVACART DATA'!$A$2:$A$1001),2,FALSE)</f>
        <v>46070</v>
      </c>
      <c r="B825" s="1">
        <v>1496</v>
      </c>
      <c r="C825" s="1">
        <f>VLOOKUP(B825,'NOVACART DATA'!$B$2:$C$1000,2,FALSE)</f>
        <v>103</v>
      </c>
      <c r="D825" s="1">
        <v>31</v>
      </c>
      <c r="E825" s="1" t="str">
        <f>VLOOKUP(B825,'NOVACART DATA'!$B$2:$M$1001,5,FALSE)</f>
        <v>Paid Search</v>
      </c>
      <c r="F825" s="1">
        <v>1</v>
      </c>
      <c r="G825" s="1">
        <v>57.51</v>
      </c>
      <c r="H825" s="1">
        <v>5</v>
      </c>
      <c r="I825" s="17">
        <f t="shared" si="12"/>
        <v>54.634499999999996</v>
      </c>
      <c r="J825" s="1">
        <f>VLOOKUP(B825,'NOVACART DATA'!$B$2:$N$1001,13,FALSE)</f>
        <v>0</v>
      </c>
    </row>
    <row r="826" spans="1:10">
      <c r="A826" s="2">
        <f>VLOOKUP(B826,CHOOSE({1,2},'NOVACART DATA'!$B$2:$B$1001,'NOVACART DATA'!$A$2:$A$1001),2,FALSE)</f>
        <v>46080</v>
      </c>
      <c r="B826" s="1">
        <v>1538</v>
      </c>
      <c r="C826" s="1">
        <f>VLOOKUP(B826,'NOVACART DATA'!$B$2:$C$1000,2,FALSE)</f>
        <v>103</v>
      </c>
      <c r="D826" s="1">
        <v>23</v>
      </c>
      <c r="E826" s="1" t="str">
        <f>VLOOKUP(B826,'NOVACART DATA'!$B$2:$M$1001,5,FALSE)</f>
        <v>Paid Search</v>
      </c>
      <c r="F826" s="1">
        <v>2</v>
      </c>
      <c r="G826" s="1">
        <v>38.14</v>
      </c>
      <c r="H826" s="1">
        <v>15</v>
      </c>
      <c r="I826" s="17">
        <f t="shared" si="12"/>
        <v>64.837999999999994</v>
      </c>
      <c r="J826" s="1">
        <f>VLOOKUP(B826,'NOVACART DATA'!$B$2:$N$1001,13,FALSE)</f>
        <v>0</v>
      </c>
    </row>
    <row r="827" spans="1:10">
      <c r="A827" s="2">
        <f>VLOOKUP(B827,CHOOSE({1,2},'NOVACART DATA'!$B$2:$B$1001,'NOVACART DATA'!$A$2:$A$1001),2,FALSE)</f>
        <v>46081</v>
      </c>
      <c r="B827" s="1">
        <v>1544</v>
      </c>
      <c r="C827" s="1">
        <f>VLOOKUP(B827,'NOVACART DATA'!$B$2:$C$1000,2,FALSE)</f>
        <v>103</v>
      </c>
      <c r="D827" s="1">
        <v>25</v>
      </c>
      <c r="E827" s="1" t="str">
        <f>VLOOKUP(B827,'NOVACART DATA'!$B$2:$M$1001,5,FALSE)</f>
        <v>Paid Search</v>
      </c>
      <c r="F827" s="1">
        <v>2</v>
      </c>
      <c r="G827" s="1">
        <v>17.78</v>
      </c>
      <c r="H827" s="1">
        <v>5</v>
      </c>
      <c r="I827" s="17">
        <f t="shared" si="12"/>
        <v>33.782000000000004</v>
      </c>
      <c r="J827" s="1">
        <f>VLOOKUP(B827,'NOVACART DATA'!$B$2:$N$1001,13,FALSE)</f>
        <v>0</v>
      </c>
    </row>
    <row r="828" spans="1:10">
      <c r="A828" s="2">
        <f>VLOOKUP(B828,CHOOSE({1,2},'NOVACART DATA'!$B$2:$B$1001,'NOVACART DATA'!$A$2:$A$1001),2,FALSE)</f>
        <v>45819</v>
      </c>
      <c r="B828" s="1">
        <v>1085</v>
      </c>
      <c r="C828" s="1">
        <f>VLOOKUP(B828,'NOVACART DATA'!$B$2:$C$1000,2,FALSE)</f>
        <v>103</v>
      </c>
      <c r="D828" s="1">
        <v>39</v>
      </c>
      <c r="E828" s="1" t="str">
        <f>VLOOKUP(B828,'NOVACART DATA'!$B$2:$M$1001,5,FALSE)</f>
        <v>Paid Search</v>
      </c>
      <c r="F828" s="1">
        <v>1</v>
      </c>
      <c r="G828" s="1">
        <v>39.979999999999997</v>
      </c>
      <c r="H828" s="1">
        <v>0</v>
      </c>
      <c r="I828" s="17">
        <f t="shared" si="12"/>
        <v>39.979999999999997</v>
      </c>
      <c r="J828" s="1">
        <f>VLOOKUP(B828,'NOVACART DATA'!$B$2:$N$1001,13,FALSE)</f>
        <v>0</v>
      </c>
    </row>
    <row r="829" spans="1:10">
      <c r="A829" s="2">
        <f>VLOOKUP(B829,CHOOSE({1,2},'NOVACART DATA'!$B$2:$B$1001,'NOVACART DATA'!$A$2:$A$1001),2,FALSE)</f>
        <v>45990</v>
      </c>
      <c r="B829" s="1">
        <v>1196</v>
      </c>
      <c r="C829" s="1">
        <f>VLOOKUP(B829,'NOVACART DATA'!$B$2:$C$1000,2,FALSE)</f>
        <v>103</v>
      </c>
      <c r="D829" s="1">
        <v>36</v>
      </c>
      <c r="E829" s="1" t="str">
        <f>VLOOKUP(B829,'NOVACART DATA'!$B$2:$M$1001,5,FALSE)</f>
        <v>Paid Search</v>
      </c>
      <c r="F829" s="1">
        <v>1</v>
      </c>
      <c r="G829" s="1">
        <v>23.23</v>
      </c>
      <c r="H829" s="1">
        <v>5</v>
      </c>
      <c r="I829" s="17">
        <f t="shared" si="12"/>
        <v>22.0685</v>
      </c>
      <c r="J829" s="1">
        <f>VLOOKUP(B829,'NOVACART DATA'!$B$2:$N$1001,13,FALSE)</f>
        <v>0</v>
      </c>
    </row>
    <row r="830" spans="1:10">
      <c r="A830" s="2">
        <f>VLOOKUP(B830,CHOOSE({1,2},'NOVACART DATA'!$B$2:$B$1001,'NOVACART DATA'!$A$2:$A$1001),2,FALSE)</f>
        <v>46040</v>
      </c>
      <c r="B830" s="1">
        <v>1414</v>
      </c>
      <c r="C830" s="1">
        <f>VLOOKUP(B830,'NOVACART DATA'!$B$2:$C$1000,2,FALSE)</f>
        <v>104</v>
      </c>
      <c r="D830" s="1">
        <v>31</v>
      </c>
      <c r="E830" s="1" t="str">
        <f>VLOOKUP(B830,'NOVACART DATA'!$B$2:$M$1001,5,FALSE)</f>
        <v>Direct</v>
      </c>
      <c r="F830" s="1">
        <v>3</v>
      </c>
      <c r="G830" s="1">
        <v>57.51</v>
      </c>
      <c r="H830" s="1">
        <v>0</v>
      </c>
      <c r="I830" s="17">
        <f t="shared" si="12"/>
        <v>172.53</v>
      </c>
      <c r="J830" s="1">
        <f>VLOOKUP(B830,'NOVACART DATA'!$B$2:$N$1001,13,FALSE)</f>
        <v>0</v>
      </c>
    </row>
    <row r="831" spans="1:10">
      <c r="A831" s="2">
        <f>VLOOKUP(B831,CHOOSE({1,2},'NOVACART DATA'!$B$2:$B$1001,'NOVACART DATA'!$A$2:$A$1001),2,FALSE)</f>
        <v>46040</v>
      </c>
      <c r="B831" s="1">
        <v>1414</v>
      </c>
      <c r="C831" s="1">
        <f>VLOOKUP(B831,'NOVACART DATA'!$B$2:$C$1000,2,FALSE)</f>
        <v>104</v>
      </c>
      <c r="D831" s="1">
        <v>30</v>
      </c>
      <c r="E831" s="1" t="str">
        <f>VLOOKUP(B831,'NOVACART DATA'!$B$2:$M$1001,5,FALSE)</f>
        <v>Direct</v>
      </c>
      <c r="F831" s="1">
        <v>1</v>
      </c>
      <c r="G831" s="1">
        <v>41.49</v>
      </c>
      <c r="H831" s="1">
        <v>0</v>
      </c>
      <c r="I831" s="17">
        <f t="shared" si="12"/>
        <v>41.49</v>
      </c>
      <c r="J831" s="1">
        <f>VLOOKUP(B831,'NOVACART DATA'!$B$2:$N$1001,13,FALSE)</f>
        <v>0</v>
      </c>
    </row>
    <row r="832" spans="1:10">
      <c r="A832" s="2">
        <f>VLOOKUP(B832,CHOOSE({1,2},'NOVACART DATA'!$B$2:$B$1001,'NOVACART DATA'!$A$2:$A$1001),2,FALSE)</f>
        <v>46040</v>
      </c>
      <c r="B832" s="1">
        <v>1414</v>
      </c>
      <c r="C832" s="1">
        <f>VLOOKUP(B832,'NOVACART DATA'!$B$2:$C$1000,2,FALSE)</f>
        <v>104</v>
      </c>
      <c r="D832" s="1">
        <v>20</v>
      </c>
      <c r="E832" s="1" t="str">
        <f>VLOOKUP(B832,'NOVACART DATA'!$B$2:$M$1001,5,FALSE)</f>
        <v>Direct</v>
      </c>
      <c r="F832" s="1">
        <v>1</v>
      </c>
      <c r="G832" s="1">
        <v>32.76</v>
      </c>
      <c r="H832" s="1">
        <v>0</v>
      </c>
      <c r="I832" s="17">
        <f t="shared" si="12"/>
        <v>32.76</v>
      </c>
      <c r="J832" s="1">
        <f>VLOOKUP(B832,'NOVACART DATA'!$B$2:$N$1001,13,FALSE)</f>
        <v>0</v>
      </c>
    </row>
    <row r="833" spans="1:10">
      <c r="A833" s="2">
        <f>VLOOKUP(B833,CHOOSE({1,2},'NOVACART DATA'!$B$2:$B$1001,'NOVACART DATA'!$A$2:$A$1001),2,FALSE)</f>
        <v>46040</v>
      </c>
      <c r="B833" s="1">
        <v>1414</v>
      </c>
      <c r="C833" s="1">
        <f>VLOOKUP(B833,'NOVACART DATA'!$B$2:$C$1000,2,FALSE)</f>
        <v>104</v>
      </c>
      <c r="D833" s="1">
        <v>30</v>
      </c>
      <c r="E833" s="1" t="str">
        <f>VLOOKUP(B833,'NOVACART DATA'!$B$2:$M$1001,5,FALSE)</f>
        <v>Direct</v>
      </c>
      <c r="F833" s="1">
        <v>1</v>
      </c>
      <c r="G833" s="1">
        <v>41.49</v>
      </c>
      <c r="H833" s="1">
        <v>0</v>
      </c>
      <c r="I833" s="17">
        <f t="shared" si="12"/>
        <v>41.49</v>
      </c>
      <c r="J833" s="1">
        <f>VLOOKUP(B833,'NOVACART DATA'!$B$2:$N$1001,13,FALSE)</f>
        <v>0</v>
      </c>
    </row>
    <row r="834" spans="1:10">
      <c r="A834" s="2">
        <f>VLOOKUP(B834,CHOOSE({1,2},'NOVACART DATA'!$B$2:$B$1001,'NOVACART DATA'!$A$2:$A$1001),2,FALSE)</f>
        <v>46049</v>
      </c>
      <c r="B834" s="1">
        <v>1434</v>
      </c>
      <c r="C834" s="1">
        <f>VLOOKUP(B834,'NOVACART DATA'!$B$2:$C$1000,2,FALSE)</f>
        <v>104</v>
      </c>
      <c r="D834" s="1">
        <v>36</v>
      </c>
      <c r="E834" s="1" t="str">
        <f>VLOOKUP(B834,'NOVACART DATA'!$B$2:$M$1001,5,FALSE)</f>
        <v>Direct</v>
      </c>
      <c r="F834" s="1">
        <v>2</v>
      </c>
      <c r="G834" s="1">
        <v>23.23</v>
      </c>
      <c r="H834" s="1">
        <v>0</v>
      </c>
      <c r="I834" s="17">
        <f t="shared" ref="I834:I897" si="13">F834*G834*(1-H834/100)</f>
        <v>46.46</v>
      </c>
      <c r="J834" s="1">
        <f>VLOOKUP(B834,'NOVACART DATA'!$B$2:$N$1001,13,FALSE)</f>
        <v>0</v>
      </c>
    </row>
    <row r="835" spans="1:10">
      <c r="A835" s="2">
        <f>VLOOKUP(B835,CHOOSE({1,2},'NOVACART DATA'!$B$2:$B$1001,'NOVACART DATA'!$A$2:$A$1001),2,FALSE)</f>
        <v>46069</v>
      </c>
      <c r="B835" s="1">
        <v>1492</v>
      </c>
      <c r="C835" s="1">
        <f>VLOOKUP(B835,'NOVACART DATA'!$B$2:$C$1000,2,FALSE)</f>
        <v>104</v>
      </c>
      <c r="D835" s="1">
        <v>19</v>
      </c>
      <c r="E835" s="1" t="str">
        <f>VLOOKUP(B835,'NOVACART DATA'!$B$2:$M$1001,5,FALSE)</f>
        <v>Direct</v>
      </c>
      <c r="F835" s="1">
        <v>1</v>
      </c>
      <c r="G835" s="1">
        <v>50.14</v>
      </c>
      <c r="H835" s="1">
        <v>0</v>
      </c>
      <c r="I835" s="17">
        <f t="shared" si="13"/>
        <v>50.14</v>
      </c>
      <c r="J835" s="1">
        <f>VLOOKUP(B835,'NOVACART DATA'!$B$2:$N$1001,13,FALSE)</f>
        <v>0</v>
      </c>
    </row>
    <row r="836" spans="1:10">
      <c r="A836" s="2">
        <f>VLOOKUP(B836,CHOOSE({1,2},'NOVACART DATA'!$B$2:$B$1001,'NOVACART DATA'!$A$2:$A$1001),2,FALSE)</f>
        <v>46069</v>
      </c>
      <c r="B836" s="1">
        <v>1492</v>
      </c>
      <c r="C836" s="1">
        <f>VLOOKUP(B836,'NOVACART DATA'!$B$2:$C$1000,2,FALSE)</f>
        <v>104</v>
      </c>
      <c r="D836" s="1">
        <v>32</v>
      </c>
      <c r="E836" s="1" t="str">
        <f>VLOOKUP(B836,'NOVACART DATA'!$B$2:$M$1001,5,FALSE)</f>
        <v>Direct</v>
      </c>
      <c r="F836" s="1">
        <v>1</v>
      </c>
      <c r="G836" s="1">
        <v>61.06</v>
      </c>
      <c r="H836" s="1">
        <v>0</v>
      </c>
      <c r="I836" s="17">
        <f t="shared" si="13"/>
        <v>61.06</v>
      </c>
      <c r="J836" s="1">
        <f>VLOOKUP(B836,'NOVACART DATA'!$B$2:$N$1001,13,FALSE)</f>
        <v>0</v>
      </c>
    </row>
    <row r="837" spans="1:10">
      <c r="A837" s="2">
        <f>VLOOKUP(B837,CHOOSE({1,2},'NOVACART DATA'!$B$2:$B$1001,'NOVACART DATA'!$A$2:$A$1001),2,FALSE)</f>
        <v>45727</v>
      </c>
      <c r="B837" s="1">
        <v>1074</v>
      </c>
      <c r="C837" s="1">
        <f>VLOOKUP(B837,'NOVACART DATA'!$B$2:$C$1000,2,FALSE)</f>
        <v>105</v>
      </c>
      <c r="D837" s="1">
        <v>2</v>
      </c>
      <c r="E837" s="1" t="str">
        <f>VLOOKUP(B837,'NOVACART DATA'!$B$2:$M$1001,5,FALSE)</f>
        <v>Paid Search</v>
      </c>
      <c r="F837" s="1">
        <v>1</v>
      </c>
      <c r="G837" s="1">
        <v>64.02</v>
      </c>
      <c r="H837" s="1">
        <v>20</v>
      </c>
      <c r="I837" s="17">
        <f t="shared" si="13"/>
        <v>51.216000000000001</v>
      </c>
      <c r="J837" s="1">
        <f>VLOOKUP(B837,'NOVACART DATA'!$B$2:$N$1001,13,FALSE)</f>
        <v>0</v>
      </c>
    </row>
    <row r="838" spans="1:10">
      <c r="A838" s="2">
        <f>VLOOKUP(B838,CHOOSE({1,2},'NOVACART DATA'!$B$2:$B$1001,'NOVACART DATA'!$A$2:$A$1001),2,FALSE)</f>
        <v>45980</v>
      </c>
      <c r="B838" s="1">
        <v>1153</v>
      </c>
      <c r="C838" s="1">
        <f>VLOOKUP(B838,'NOVACART DATA'!$B$2:$C$1000,2,FALSE)</f>
        <v>105</v>
      </c>
      <c r="D838" s="1">
        <v>38</v>
      </c>
      <c r="E838" s="1" t="str">
        <f>VLOOKUP(B838,'NOVACART DATA'!$B$2:$M$1001,5,FALSE)</f>
        <v>Paid Search</v>
      </c>
      <c r="F838" s="1">
        <v>1</v>
      </c>
      <c r="G838" s="1">
        <v>25.14</v>
      </c>
      <c r="H838" s="1">
        <v>15</v>
      </c>
      <c r="I838" s="17">
        <f t="shared" si="13"/>
        <v>21.369</v>
      </c>
      <c r="J838" s="1">
        <f>VLOOKUP(B838,'NOVACART DATA'!$B$2:$N$1001,13,FALSE)</f>
        <v>0</v>
      </c>
    </row>
    <row r="839" spans="1:10">
      <c r="A839" s="2">
        <f>VLOOKUP(B839,CHOOSE({1,2},'NOVACART DATA'!$B$2:$B$1001,'NOVACART DATA'!$A$2:$A$1001),2,FALSE)</f>
        <v>46019</v>
      </c>
      <c r="B839" s="1">
        <v>1345</v>
      </c>
      <c r="C839" s="1">
        <f>VLOOKUP(B839,'NOVACART DATA'!$B$2:$C$1000,2,FALSE)</f>
        <v>105</v>
      </c>
      <c r="D839" s="1">
        <v>12</v>
      </c>
      <c r="E839" s="1" t="str">
        <f>VLOOKUP(B839,'NOVACART DATA'!$B$2:$M$1001,5,FALSE)</f>
        <v>Paid Search</v>
      </c>
      <c r="F839" s="1">
        <v>2</v>
      </c>
      <c r="G839" s="1">
        <v>38.869999999999997</v>
      </c>
      <c r="H839" s="1">
        <v>0</v>
      </c>
      <c r="I839" s="17">
        <f t="shared" si="13"/>
        <v>77.739999999999995</v>
      </c>
      <c r="J839" s="1">
        <f>VLOOKUP(B839,'NOVACART DATA'!$B$2:$N$1001,13,FALSE)</f>
        <v>0</v>
      </c>
    </row>
    <row r="840" spans="1:10">
      <c r="A840" s="2">
        <f>VLOOKUP(B840,CHOOSE({1,2},'NOVACART DATA'!$B$2:$B$1001,'NOVACART DATA'!$A$2:$A$1001),2,FALSE)</f>
        <v>46019</v>
      </c>
      <c r="B840" s="1">
        <v>1345</v>
      </c>
      <c r="C840" s="1">
        <f>VLOOKUP(B840,'NOVACART DATA'!$B$2:$C$1000,2,FALSE)</f>
        <v>105</v>
      </c>
      <c r="D840" s="1">
        <v>22</v>
      </c>
      <c r="E840" s="1" t="str">
        <f>VLOOKUP(B840,'NOVACART DATA'!$B$2:$M$1001,5,FALSE)</f>
        <v>Paid Search</v>
      </c>
      <c r="F840" s="1">
        <v>1</v>
      </c>
      <c r="G840" s="1">
        <v>29.98</v>
      </c>
      <c r="H840" s="1">
        <v>0</v>
      </c>
      <c r="I840" s="17">
        <f t="shared" si="13"/>
        <v>29.98</v>
      </c>
      <c r="J840" s="1">
        <f>VLOOKUP(B840,'NOVACART DATA'!$B$2:$N$1001,13,FALSE)</f>
        <v>0</v>
      </c>
    </row>
    <row r="841" spans="1:10">
      <c r="A841" s="2">
        <f>VLOOKUP(B841,CHOOSE({1,2},'NOVACART DATA'!$B$2:$B$1001,'NOVACART DATA'!$A$2:$A$1001),2,FALSE)</f>
        <v>46113</v>
      </c>
      <c r="B841" s="1">
        <v>1371</v>
      </c>
      <c r="C841" s="1">
        <f>VLOOKUP(B841,'NOVACART DATA'!$B$2:$C$1000,2,FALSE)</f>
        <v>105</v>
      </c>
      <c r="D841" s="1">
        <v>25</v>
      </c>
      <c r="E841" s="1" t="str">
        <f>VLOOKUP(B841,'NOVACART DATA'!$B$2:$M$1001,5,FALSE)</f>
        <v>Paid Search</v>
      </c>
      <c r="F841" s="1">
        <v>1</v>
      </c>
      <c r="G841" s="1">
        <v>17.78</v>
      </c>
      <c r="H841" s="1">
        <v>0</v>
      </c>
      <c r="I841" s="17">
        <f t="shared" si="13"/>
        <v>17.78</v>
      </c>
      <c r="J841" s="1">
        <f>VLOOKUP(B841,'NOVACART DATA'!$B$2:$N$1001,13,FALSE)</f>
        <v>0</v>
      </c>
    </row>
    <row r="842" spans="1:10">
      <c r="A842" s="2">
        <f>VLOOKUP(B842,CHOOSE({1,2},'NOVACART DATA'!$B$2:$B$1001,'NOVACART DATA'!$A$2:$A$1001),2,FALSE)</f>
        <v>46012</v>
      </c>
      <c r="B842" s="1">
        <v>1305</v>
      </c>
      <c r="C842" s="1">
        <f>VLOOKUP(B842,'NOVACART DATA'!$B$2:$C$1000,2,FALSE)</f>
        <v>107</v>
      </c>
      <c r="D842" s="1">
        <v>9</v>
      </c>
      <c r="E842" s="1" t="str">
        <f>VLOOKUP(B842,'NOVACART DATA'!$B$2:$M$1001,5,FALSE)</f>
        <v>Email</v>
      </c>
      <c r="F842" s="1">
        <v>3</v>
      </c>
      <c r="G842" s="1">
        <v>20.69</v>
      </c>
      <c r="H842" s="1">
        <v>0</v>
      </c>
      <c r="I842" s="17">
        <f t="shared" si="13"/>
        <v>62.070000000000007</v>
      </c>
      <c r="J842" s="1">
        <f>VLOOKUP(B842,'NOVACART DATA'!$B$2:$N$1001,13,FALSE)</f>
        <v>1</v>
      </c>
    </row>
    <row r="843" spans="1:10">
      <c r="A843" s="2">
        <f>VLOOKUP(B843,CHOOSE({1,2},'NOVACART DATA'!$B$2:$B$1001,'NOVACART DATA'!$A$2:$A$1001),2,FALSE)</f>
        <v>46052</v>
      </c>
      <c r="B843" s="1">
        <v>1442</v>
      </c>
      <c r="C843" s="1">
        <f>VLOOKUP(B843,'NOVACART DATA'!$B$2:$C$1000,2,FALSE)</f>
        <v>107</v>
      </c>
      <c r="D843" s="1">
        <v>33</v>
      </c>
      <c r="E843" s="1" t="str">
        <f>VLOOKUP(B843,'NOVACART DATA'!$B$2:$M$1001,5,FALSE)</f>
        <v>Email</v>
      </c>
      <c r="F843" s="1">
        <v>1</v>
      </c>
      <c r="G843" s="1">
        <v>40.94</v>
      </c>
      <c r="H843" s="1">
        <v>10</v>
      </c>
      <c r="I843" s="17">
        <f t="shared" si="13"/>
        <v>36.845999999999997</v>
      </c>
      <c r="J843" s="1">
        <f>VLOOKUP(B843,'NOVACART DATA'!$B$2:$N$1001,13,FALSE)</f>
        <v>0</v>
      </c>
    </row>
    <row r="844" spans="1:10">
      <c r="A844" s="2">
        <f>VLOOKUP(B844,CHOOSE({1,2},'NOVACART DATA'!$B$2:$B$1001,'NOVACART DATA'!$A$2:$A$1001),2,FALSE)</f>
        <v>45944</v>
      </c>
      <c r="B844" s="1">
        <v>1009</v>
      </c>
      <c r="C844" s="1">
        <f>VLOOKUP(B844,'NOVACART DATA'!$B$2:$C$1000,2,FALSE)</f>
        <v>108</v>
      </c>
      <c r="D844" s="1">
        <v>24</v>
      </c>
      <c r="E844" s="1" t="str">
        <f>VLOOKUP(B844,'NOVACART DATA'!$B$2:$M$1001,5,FALSE)</f>
        <v>Referral</v>
      </c>
      <c r="F844" s="1">
        <v>1</v>
      </c>
      <c r="G844" s="1">
        <v>43.42</v>
      </c>
      <c r="H844" s="1">
        <v>0</v>
      </c>
      <c r="I844" s="17">
        <f t="shared" si="13"/>
        <v>43.42</v>
      </c>
      <c r="J844" s="1">
        <f>VLOOKUP(B844,'NOVACART DATA'!$B$2:$N$1001,13,FALSE)</f>
        <v>0</v>
      </c>
    </row>
    <row r="845" spans="1:10">
      <c r="A845" s="2">
        <f>VLOOKUP(B845,CHOOSE({1,2},'NOVACART DATA'!$B$2:$B$1001,'NOVACART DATA'!$A$2:$A$1001),2,FALSE)</f>
        <v>45944</v>
      </c>
      <c r="B845" s="1">
        <v>1009</v>
      </c>
      <c r="C845" s="1">
        <f>VLOOKUP(B845,'NOVACART DATA'!$B$2:$C$1000,2,FALSE)</f>
        <v>108</v>
      </c>
      <c r="D845" s="1">
        <v>13</v>
      </c>
      <c r="E845" s="1" t="str">
        <f>VLOOKUP(B845,'NOVACART DATA'!$B$2:$M$1001,5,FALSE)</f>
        <v>Referral</v>
      </c>
      <c r="F845" s="1">
        <v>3</v>
      </c>
      <c r="G845" s="1">
        <v>54.9</v>
      </c>
      <c r="H845" s="1">
        <v>5.5</v>
      </c>
      <c r="I845" s="17">
        <f t="shared" si="13"/>
        <v>155.64149999999998</v>
      </c>
      <c r="J845" s="1">
        <f>VLOOKUP(B845,'NOVACART DATA'!$B$2:$N$1001,13,FALSE)</f>
        <v>0</v>
      </c>
    </row>
    <row r="846" spans="1:10">
      <c r="A846" s="2">
        <f>VLOOKUP(B846,CHOOSE({1,2},'NOVACART DATA'!$B$2:$B$1001,'NOVACART DATA'!$A$2:$A$1001),2,FALSE)</f>
        <v>45944</v>
      </c>
      <c r="B846" s="1">
        <v>1009</v>
      </c>
      <c r="C846" s="1">
        <f>VLOOKUP(B846,'NOVACART DATA'!$B$2:$C$1000,2,FALSE)</f>
        <v>108</v>
      </c>
      <c r="D846" s="1">
        <v>7</v>
      </c>
      <c r="E846" s="1" t="str">
        <f>VLOOKUP(B846,'NOVACART DATA'!$B$2:$M$1001,5,FALSE)</f>
        <v>Referral</v>
      </c>
      <c r="F846" s="1">
        <v>3</v>
      </c>
      <c r="G846" s="1">
        <v>79.39</v>
      </c>
      <c r="H846" s="1">
        <v>5</v>
      </c>
      <c r="I846" s="17">
        <f t="shared" si="13"/>
        <v>226.26150000000001</v>
      </c>
      <c r="J846" s="1">
        <f>VLOOKUP(B846,'NOVACART DATA'!$B$2:$N$1001,13,FALSE)</f>
        <v>0</v>
      </c>
    </row>
    <row r="847" spans="1:10">
      <c r="A847" s="2">
        <f>VLOOKUP(B847,CHOOSE({1,2},'NOVACART DATA'!$B$2:$B$1001,'NOVACART DATA'!$A$2:$A$1001),2,FALSE)</f>
        <v>45727</v>
      </c>
      <c r="B847" s="1">
        <v>1075</v>
      </c>
      <c r="C847" s="1">
        <f>VLOOKUP(B847,'NOVACART DATA'!$B$2:$C$1000,2,FALSE)</f>
        <v>108</v>
      </c>
      <c r="D847" s="1">
        <v>15</v>
      </c>
      <c r="E847" s="1" t="str">
        <f>VLOOKUP(B847,'NOVACART DATA'!$B$2:$M$1001,5,FALSE)</f>
        <v>Referral</v>
      </c>
      <c r="F847" s="1">
        <v>1</v>
      </c>
      <c r="G847" s="1">
        <v>47.71</v>
      </c>
      <c r="H847" s="1">
        <v>25</v>
      </c>
      <c r="I847" s="17">
        <f t="shared" si="13"/>
        <v>35.782499999999999</v>
      </c>
      <c r="J847" s="1">
        <f>VLOOKUP(B847,'NOVACART DATA'!$B$2:$N$1001,13,FALSE)</f>
        <v>0</v>
      </c>
    </row>
    <row r="848" spans="1:10">
      <c r="A848" s="2">
        <f>VLOOKUP(B848,CHOOSE({1,2},'NOVACART DATA'!$B$2:$B$1001,'NOVACART DATA'!$A$2:$A$1001),2,FALSE)</f>
        <v>45982</v>
      </c>
      <c r="B848" s="1">
        <v>1161</v>
      </c>
      <c r="C848" s="1">
        <f>VLOOKUP(B848,'NOVACART DATA'!$B$2:$C$1000,2,FALSE)</f>
        <v>108</v>
      </c>
      <c r="D848" s="1">
        <v>20</v>
      </c>
      <c r="E848" s="1" t="str">
        <f>VLOOKUP(B848,'NOVACART DATA'!$B$2:$M$1001,5,FALSE)</f>
        <v>Referral</v>
      </c>
      <c r="F848" s="1">
        <v>2</v>
      </c>
      <c r="G848" s="1">
        <v>32.76</v>
      </c>
      <c r="H848" s="1">
        <v>0</v>
      </c>
      <c r="I848" s="17">
        <f t="shared" si="13"/>
        <v>65.52</v>
      </c>
      <c r="J848" s="1">
        <f>VLOOKUP(B848,'NOVACART DATA'!$B$2:$N$1001,13,FALSE)</f>
        <v>0</v>
      </c>
    </row>
    <row r="849" spans="1:10">
      <c r="A849" s="2">
        <f>VLOOKUP(B849,CHOOSE({1,2},'NOVACART DATA'!$B$2:$B$1001,'NOVACART DATA'!$A$2:$A$1001),2,FALSE)</f>
        <v>45982</v>
      </c>
      <c r="B849" s="1">
        <v>1161</v>
      </c>
      <c r="C849" s="1">
        <f>VLOOKUP(B849,'NOVACART DATA'!$B$2:$C$1000,2,FALSE)</f>
        <v>108</v>
      </c>
      <c r="D849" s="1">
        <v>29</v>
      </c>
      <c r="E849" s="1" t="str">
        <f>VLOOKUP(B849,'NOVACART DATA'!$B$2:$M$1001,5,FALSE)</f>
        <v>Referral</v>
      </c>
      <c r="F849" s="1">
        <v>1</v>
      </c>
      <c r="G849" s="1">
        <v>45.67</v>
      </c>
      <c r="H849" s="1">
        <v>0</v>
      </c>
      <c r="I849" s="17">
        <f t="shared" si="13"/>
        <v>45.67</v>
      </c>
      <c r="J849" s="1">
        <f>VLOOKUP(B849,'NOVACART DATA'!$B$2:$N$1001,13,FALSE)</f>
        <v>0</v>
      </c>
    </row>
    <row r="850" spans="1:10">
      <c r="A850" s="2">
        <f>VLOOKUP(B850,CHOOSE({1,2},'NOVACART DATA'!$B$2:$B$1001,'NOVACART DATA'!$A$2:$A$1001),2,FALSE)</f>
        <v>45985</v>
      </c>
      <c r="B850" s="1">
        <v>1173</v>
      </c>
      <c r="C850" s="1">
        <f>VLOOKUP(B850,'NOVACART DATA'!$B$2:$C$1000,2,FALSE)</f>
        <v>108</v>
      </c>
      <c r="D850" s="1">
        <v>20</v>
      </c>
      <c r="E850" s="1" t="str">
        <f>VLOOKUP(B850,'NOVACART DATA'!$B$2:$M$1001,5,FALSE)</f>
        <v>Referral</v>
      </c>
      <c r="F850" s="1">
        <v>2</v>
      </c>
      <c r="G850" s="1">
        <v>32.76</v>
      </c>
      <c r="H850" s="1">
        <v>15</v>
      </c>
      <c r="I850" s="17">
        <f t="shared" si="13"/>
        <v>55.691999999999993</v>
      </c>
      <c r="J850" s="1">
        <f>VLOOKUP(B850,'NOVACART DATA'!$B$2:$N$1001,13,FALSE)</f>
        <v>0</v>
      </c>
    </row>
    <row r="851" spans="1:10">
      <c r="A851" s="2">
        <f>VLOOKUP(B851,CHOOSE({1,2},'NOVACART DATA'!$B$2:$B$1001,'NOVACART DATA'!$A$2:$A$1001),2,FALSE)</f>
        <v>45985</v>
      </c>
      <c r="B851" s="1">
        <v>1173</v>
      </c>
      <c r="C851" s="1">
        <f>VLOOKUP(B851,'NOVACART DATA'!$B$2:$C$1000,2,FALSE)</f>
        <v>108</v>
      </c>
      <c r="D851" s="1">
        <v>9</v>
      </c>
      <c r="E851" s="1" t="str">
        <f>VLOOKUP(B851,'NOVACART DATA'!$B$2:$M$1001,5,FALSE)</f>
        <v>Referral</v>
      </c>
      <c r="F851" s="1">
        <v>1</v>
      </c>
      <c r="G851" s="1">
        <v>20.69</v>
      </c>
      <c r="H851" s="1">
        <v>25</v>
      </c>
      <c r="I851" s="17">
        <f t="shared" si="13"/>
        <v>15.517500000000002</v>
      </c>
      <c r="J851" s="1">
        <f>VLOOKUP(B851,'NOVACART DATA'!$B$2:$N$1001,13,FALSE)</f>
        <v>0</v>
      </c>
    </row>
    <row r="852" spans="1:10">
      <c r="A852" s="2">
        <f>VLOOKUP(B852,CHOOSE({1,2},'NOVACART DATA'!$B$2:$B$1001,'NOVACART DATA'!$A$2:$A$1001),2,FALSE)</f>
        <v>45985</v>
      </c>
      <c r="B852" s="1">
        <v>1173</v>
      </c>
      <c r="C852" s="1">
        <f>VLOOKUP(B852,'NOVACART DATA'!$B$2:$C$1000,2,FALSE)</f>
        <v>108</v>
      </c>
      <c r="D852" s="1">
        <v>10</v>
      </c>
      <c r="E852" s="1" t="str">
        <f>VLOOKUP(B852,'NOVACART DATA'!$B$2:$M$1001,5,FALSE)</f>
        <v>Referral</v>
      </c>
      <c r="F852" s="1">
        <v>2</v>
      </c>
      <c r="G852" s="1">
        <v>62.68</v>
      </c>
      <c r="H852" s="1">
        <v>25</v>
      </c>
      <c r="I852" s="17">
        <f t="shared" si="13"/>
        <v>94.02</v>
      </c>
      <c r="J852" s="1">
        <f>VLOOKUP(B852,'NOVACART DATA'!$B$2:$N$1001,13,FALSE)</f>
        <v>0</v>
      </c>
    </row>
    <row r="853" spans="1:10">
      <c r="A853" s="2">
        <f>VLOOKUP(B853,CHOOSE({1,2},'NOVACART DATA'!$B$2:$B$1001,'NOVACART DATA'!$A$2:$A$1001),2,FALSE)</f>
        <v>45985</v>
      </c>
      <c r="B853" s="1">
        <v>1173</v>
      </c>
      <c r="C853" s="1">
        <f>VLOOKUP(B853,'NOVACART DATA'!$B$2:$C$1000,2,FALSE)</f>
        <v>108</v>
      </c>
      <c r="D853" s="1">
        <v>22</v>
      </c>
      <c r="E853" s="1" t="str">
        <f>VLOOKUP(B853,'NOVACART DATA'!$B$2:$M$1001,5,FALSE)</f>
        <v>Referral</v>
      </c>
      <c r="F853" s="1">
        <v>1</v>
      </c>
      <c r="G853" s="1">
        <v>29.98</v>
      </c>
      <c r="H853" s="1">
        <v>20</v>
      </c>
      <c r="I853" s="17">
        <f t="shared" si="13"/>
        <v>23.984000000000002</v>
      </c>
      <c r="J853" s="1">
        <f>VLOOKUP(B853,'NOVACART DATA'!$B$2:$N$1001,13,FALSE)</f>
        <v>0</v>
      </c>
    </row>
    <row r="854" spans="1:10">
      <c r="A854" s="2">
        <f>VLOOKUP(B854,CHOOSE({1,2},'NOVACART DATA'!$B$2:$B$1001,'NOVACART DATA'!$A$2:$A$1001),2,FALSE)</f>
        <v>45989</v>
      </c>
      <c r="B854" s="1">
        <v>1195</v>
      </c>
      <c r="C854" s="1">
        <f>VLOOKUP(B854,'NOVACART DATA'!$B$2:$C$1000,2,FALSE)</f>
        <v>108</v>
      </c>
      <c r="D854" s="1">
        <v>39</v>
      </c>
      <c r="E854" s="1" t="str">
        <f>VLOOKUP(B854,'NOVACART DATA'!$B$2:$M$1001,5,FALSE)</f>
        <v>Referral</v>
      </c>
      <c r="F854" s="1">
        <v>3</v>
      </c>
      <c r="G854" s="1">
        <v>39.979999999999997</v>
      </c>
      <c r="H854" s="1">
        <v>5</v>
      </c>
      <c r="I854" s="17">
        <f t="shared" si="13"/>
        <v>113.943</v>
      </c>
      <c r="J854" s="1">
        <f>VLOOKUP(B854,'NOVACART DATA'!$B$2:$N$1001,13,FALSE)</f>
        <v>0</v>
      </c>
    </row>
    <row r="855" spans="1:10">
      <c r="A855" s="2">
        <f>VLOOKUP(B855,CHOOSE({1,2},'NOVACART DATA'!$B$2:$B$1001,'NOVACART DATA'!$A$2:$A$1001),2,FALSE)</f>
        <v>45991</v>
      </c>
      <c r="B855" s="1">
        <v>1204</v>
      </c>
      <c r="C855" s="1">
        <f>VLOOKUP(B855,'NOVACART DATA'!$B$2:$C$1000,2,FALSE)</f>
        <v>108</v>
      </c>
      <c r="D855" s="1">
        <v>25</v>
      </c>
      <c r="E855" s="1" t="str">
        <f>VLOOKUP(B855,'NOVACART DATA'!$B$2:$M$1001,5,FALSE)</f>
        <v>Referral</v>
      </c>
      <c r="F855" s="1">
        <v>3</v>
      </c>
      <c r="G855" s="1">
        <v>17.78</v>
      </c>
      <c r="H855" s="1">
        <v>0</v>
      </c>
      <c r="I855" s="17">
        <f t="shared" si="13"/>
        <v>53.34</v>
      </c>
      <c r="J855" s="1">
        <f>VLOOKUP(B855,'NOVACART DATA'!$B$2:$N$1001,13,FALSE)</f>
        <v>0</v>
      </c>
    </row>
    <row r="856" spans="1:10">
      <c r="A856" s="2">
        <f>VLOOKUP(B856,CHOOSE({1,2},'NOVACART DATA'!$B$2:$B$1001,'NOVACART DATA'!$A$2:$A$1001),2,FALSE)</f>
        <v>45728</v>
      </c>
      <c r="B856" s="1">
        <v>1221</v>
      </c>
      <c r="C856" s="1">
        <f>VLOOKUP(B856,'NOVACART DATA'!$B$2:$C$1000,2,FALSE)</f>
        <v>108</v>
      </c>
      <c r="D856" s="1">
        <v>31</v>
      </c>
      <c r="E856" s="1" t="str">
        <f>VLOOKUP(B856,'NOVACART DATA'!$B$2:$M$1001,5,FALSE)</f>
        <v>Referral</v>
      </c>
      <c r="F856" s="1">
        <v>1</v>
      </c>
      <c r="G856" s="1">
        <v>57.51</v>
      </c>
      <c r="H856" s="1">
        <v>5.5</v>
      </c>
      <c r="I856" s="17">
        <f t="shared" si="13"/>
        <v>54.346949999999993</v>
      </c>
      <c r="J856" s="1">
        <f>VLOOKUP(B856,'NOVACART DATA'!$B$2:$N$1001,13,FALSE)</f>
        <v>0</v>
      </c>
    </row>
    <row r="857" spans="1:10">
      <c r="A857" s="2">
        <f>VLOOKUP(B857,CHOOSE({1,2},'NOVACART DATA'!$B$2:$B$1001,'NOVACART DATA'!$A$2:$A$1001),2,FALSE)</f>
        <v>46081</v>
      </c>
      <c r="B857" s="1">
        <v>1545</v>
      </c>
      <c r="C857" s="1">
        <f>VLOOKUP(B857,'NOVACART DATA'!$B$2:$C$1000,2,FALSE)</f>
        <v>108</v>
      </c>
      <c r="D857" s="1">
        <v>2</v>
      </c>
      <c r="E857" s="1" t="str">
        <f>VLOOKUP(B857,'NOVACART DATA'!$B$2:$M$1001,5,FALSE)</f>
        <v>Referral</v>
      </c>
      <c r="F857" s="1">
        <v>2</v>
      </c>
      <c r="G857" s="1">
        <v>64.02</v>
      </c>
      <c r="H857" s="1">
        <v>25</v>
      </c>
      <c r="I857" s="17">
        <f t="shared" si="13"/>
        <v>96.03</v>
      </c>
      <c r="J857" s="1">
        <f>VLOOKUP(B857,'NOVACART DATA'!$B$2:$N$1001,13,FALSE)</f>
        <v>0</v>
      </c>
    </row>
    <row r="858" spans="1:10">
      <c r="A858" s="2">
        <f>VLOOKUP(B858,CHOOSE({1,2},'NOVACART DATA'!$B$2:$B$1001,'NOVACART DATA'!$A$2:$A$1001),2,FALSE)</f>
        <v>45971</v>
      </c>
      <c r="B858" s="1">
        <v>1004</v>
      </c>
      <c r="C858" s="1">
        <f>VLOOKUP(B858,'NOVACART DATA'!$B$2:$C$1000,2,FALSE)</f>
        <v>109</v>
      </c>
      <c r="D858" s="1">
        <v>37</v>
      </c>
      <c r="E858" s="1" t="str">
        <f>VLOOKUP(B858,'NOVACART DATA'!$B$2:$M$1001,5,FALSE)</f>
        <v>Direct</v>
      </c>
      <c r="F858" s="1">
        <v>1</v>
      </c>
      <c r="G858" s="1">
        <v>38.869999999999997</v>
      </c>
      <c r="H858" s="1">
        <v>25</v>
      </c>
      <c r="I858" s="17">
        <f t="shared" si="13"/>
        <v>29.152499999999996</v>
      </c>
      <c r="J858" s="1">
        <f>VLOOKUP(B858,'NOVACART DATA'!$B$2:$N$1001,13,FALSE)</f>
        <v>0</v>
      </c>
    </row>
    <row r="859" spans="1:10">
      <c r="A859" s="2">
        <f>VLOOKUP(B859,CHOOSE({1,2},'NOVACART DATA'!$B$2:$B$1001,'NOVACART DATA'!$A$2:$A$1001),2,FALSE)</f>
        <v>45945</v>
      </c>
      <c r="B859" s="1">
        <v>1011</v>
      </c>
      <c r="C859" s="1">
        <f>VLOOKUP(B859,'NOVACART DATA'!$B$2:$C$1000,2,FALSE)</f>
        <v>109</v>
      </c>
      <c r="D859" s="1">
        <v>13</v>
      </c>
      <c r="E859" s="1" t="str">
        <f>VLOOKUP(B859,'NOVACART DATA'!$B$2:$M$1001,5,FALSE)</f>
        <v>Direct</v>
      </c>
      <c r="F859" s="1">
        <v>1</v>
      </c>
      <c r="G859" s="1">
        <v>54.9</v>
      </c>
      <c r="H859" s="1">
        <v>10</v>
      </c>
      <c r="I859" s="17">
        <f t="shared" si="13"/>
        <v>49.41</v>
      </c>
      <c r="J859" s="1">
        <f>VLOOKUP(B859,'NOVACART DATA'!$B$2:$N$1001,13,FALSE)</f>
        <v>0</v>
      </c>
    </row>
    <row r="860" spans="1:10">
      <c r="A860" s="2">
        <f>VLOOKUP(B860,CHOOSE({1,2},'NOVACART DATA'!$B$2:$B$1001,'NOVACART DATA'!$A$2:$A$1001),2,FALSE)</f>
        <v>45945</v>
      </c>
      <c r="B860" s="1">
        <v>1011</v>
      </c>
      <c r="C860" s="1">
        <f>VLOOKUP(B860,'NOVACART DATA'!$B$2:$C$1000,2,FALSE)</f>
        <v>109</v>
      </c>
      <c r="D860" s="1">
        <v>15</v>
      </c>
      <c r="E860" s="1" t="str">
        <f>VLOOKUP(B860,'NOVACART DATA'!$B$2:$M$1001,5,FALSE)</f>
        <v>Direct</v>
      </c>
      <c r="F860" s="1">
        <v>1</v>
      </c>
      <c r="G860" s="1">
        <v>47.71</v>
      </c>
      <c r="H860" s="1">
        <v>10</v>
      </c>
      <c r="I860" s="17">
        <f t="shared" si="13"/>
        <v>42.939</v>
      </c>
      <c r="J860" s="1">
        <f>VLOOKUP(B860,'NOVACART DATA'!$B$2:$N$1001,13,FALSE)</f>
        <v>0</v>
      </c>
    </row>
    <row r="861" spans="1:10">
      <c r="A861" s="2">
        <f>VLOOKUP(B861,CHOOSE({1,2},'NOVACART DATA'!$B$2:$B$1001,'NOVACART DATA'!$A$2:$A$1001),2,FALSE)</f>
        <v>45958</v>
      </c>
      <c r="B861" s="1">
        <v>1052</v>
      </c>
      <c r="C861" s="1">
        <f>VLOOKUP(B861,'NOVACART DATA'!$B$2:$C$1000,2,FALSE)</f>
        <v>109</v>
      </c>
      <c r="D861" s="1">
        <v>32</v>
      </c>
      <c r="E861" s="1" t="str">
        <f>VLOOKUP(B861,'NOVACART DATA'!$B$2:$M$1001,5,FALSE)</f>
        <v>Direct</v>
      </c>
      <c r="F861" s="1">
        <v>1</v>
      </c>
      <c r="G861" s="1">
        <v>61.06</v>
      </c>
      <c r="H861" s="1">
        <v>25</v>
      </c>
      <c r="I861" s="17">
        <f t="shared" si="13"/>
        <v>45.795000000000002</v>
      </c>
      <c r="J861" s="1">
        <f>VLOOKUP(B861,'NOVACART DATA'!$B$2:$N$1001,13,FALSE)</f>
        <v>0</v>
      </c>
    </row>
    <row r="862" spans="1:10">
      <c r="A862" s="2">
        <f>VLOOKUP(B862,CHOOSE({1,2},'NOVACART DATA'!$B$2:$B$1001,'NOVACART DATA'!$A$2:$A$1001),2,FALSE)</f>
        <v>45991</v>
      </c>
      <c r="B862" s="1">
        <v>1205</v>
      </c>
      <c r="C862" s="1">
        <f>VLOOKUP(B862,'NOVACART DATA'!$B$2:$C$1000,2,FALSE)</f>
        <v>109</v>
      </c>
      <c r="D862" s="1">
        <v>37</v>
      </c>
      <c r="E862" s="1" t="str">
        <f>VLOOKUP(B862,'NOVACART DATA'!$B$2:$M$1001,5,FALSE)</f>
        <v>Direct</v>
      </c>
      <c r="F862" s="1">
        <v>1</v>
      </c>
      <c r="G862" s="1">
        <v>52.67</v>
      </c>
      <c r="H862" s="1">
        <v>20</v>
      </c>
      <c r="I862" s="17">
        <f t="shared" si="13"/>
        <v>42.136000000000003</v>
      </c>
      <c r="J862" s="1">
        <f>VLOOKUP(B862,'NOVACART DATA'!$B$2:$N$1001,13,FALSE)</f>
        <v>0</v>
      </c>
    </row>
    <row r="863" spans="1:10">
      <c r="A863" s="2">
        <f>VLOOKUP(B863,CHOOSE({1,2},'NOVACART DATA'!$B$2:$B$1001,'NOVACART DATA'!$A$2:$A$1001),2,FALSE)</f>
        <v>45942</v>
      </c>
      <c r="B863" s="1">
        <v>1251</v>
      </c>
      <c r="C863" s="1">
        <f>VLOOKUP(B863,'NOVACART DATA'!$B$2:$C$1000,2,FALSE)</f>
        <v>109</v>
      </c>
      <c r="D863" s="1">
        <v>4</v>
      </c>
      <c r="E863" s="1" t="str">
        <f>VLOOKUP(B863,'NOVACART DATA'!$B$2:$M$1001,5,FALSE)</f>
        <v>Direct</v>
      </c>
      <c r="F863" s="1">
        <v>1</v>
      </c>
      <c r="G863" s="1">
        <v>34.83</v>
      </c>
      <c r="H863" s="1">
        <v>0</v>
      </c>
      <c r="I863" s="17">
        <f t="shared" si="13"/>
        <v>34.83</v>
      </c>
      <c r="J863" s="1">
        <f>VLOOKUP(B863,'NOVACART DATA'!$B$2:$N$1001,13,FALSE)</f>
        <v>0</v>
      </c>
    </row>
    <row r="864" spans="1:10">
      <c r="A864" s="2">
        <f>VLOOKUP(B864,CHOOSE({1,2},'NOVACART DATA'!$B$2:$B$1001,'NOVACART DATA'!$A$2:$A$1001),2,FALSE)</f>
        <v>46004</v>
      </c>
      <c r="B864" s="1">
        <v>1273</v>
      </c>
      <c r="C864" s="1">
        <f>VLOOKUP(B864,'NOVACART DATA'!$B$2:$C$1000,2,FALSE)</f>
        <v>109</v>
      </c>
      <c r="D864" s="1">
        <v>5</v>
      </c>
      <c r="E864" s="1" t="str">
        <f>VLOOKUP(B864,'NOVACART DATA'!$B$2:$M$1001,5,FALSE)</f>
        <v>Direct</v>
      </c>
      <c r="F864" s="1">
        <v>1</v>
      </c>
      <c r="G864" s="1">
        <v>42.53</v>
      </c>
      <c r="H864" s="1">
        <v>10</v>
      </c>
      <c r="I864" s="17">
        <f t="shared" si="13"/>
        <v>38.277000000000001</v>
      </c>
      <c r="J864" s="1">
        <f>VLOOKUP(B864,'NOVACART DATA'!$B$2:$N$1001,13,FALSE)</f>
        <v>0</v>
      </c>
    </row>
    <row r="865" spans="1:10">
      <c r="A865" s="2">
        <f>VLOOKUP(B865,CHOOSE({1,2},'NOVACART DATA'!$B$2:$B$1001,'NOVACART DATA'!$A$2:$A$1001),2,FALSE)</f>
        <v>46007</v>
      </c>
      <c r="B865" s="1">
        <v>1287</v>
      </c>
      <c r="C865" s="1">
        <f>VLOOKUP(B865,'NOVACART DATA'!$B$2:$C$1000,2,FALSE)</f>
        <v>109</v>
      </c>
      <c r="D865" s="1">
        <v>12</v>
      </c>
      <c r="E865" s="1" t="str">
        <f>VLOOKUP(B865,'NOVACART DATA'!$B$2:$M$1001,5,FALSE)</f>
        <v>Direct</v>
      </c>
      <c r="F865" s="1">
        <v>3</v>
      </c>
      <c r="G865" s="1">
        <v>8.4499999999999993</v>
      </c>
      <c r="H865" s="1">
        <v>5</v>
      </c>
      <c r="I865" s="17">
        <f t="shared" si="13"/>
        <v>24.082499999999996</v>
      </c>
      <c r="J865" s="1">
        <f>VLOOKUP(B865,'NOVACART DATA'!$B$2:$N$1001,13,FALSE)</f>
        <v>0</v>
      </c>
    </row>
    <row r="866" spans="1:10">
      <c r="A866" s="2">
        <f>VLOOKUP(B866,CHOOSE({1,2},'NOVACART DATA'!$B$2:$B$1001,'NOVACART DATA'!$A$2:$A$1001),2,FALSE)</f>
        <v>46007</v>
      </c>
      <c r="B866" s="1">
        <v>1287</v>
      </c>
      <c r="C866" s="1">
        <f>VLOOKUP(B866,'NOVACART DATA'!$B$2:$C$1000,2,FALSE)</f>
        <v>109</v>
      </c>
      <c r="D866" s="1">
        <v>40</v>
      </c>
      <c r="E866" s="1" t="str">
        <f>VLOOKUP(B866,'NOVACART DATA'!$B$2:$M$1001,5,FALSE)</f>
        <v>Direct</v>
      </c>
      <c r="F866" s="1">
        <v>1</v>
      </c>
      <c r="G866" s="1">
        <v>47.25</v>
      </c>
      <c r="H866" s="1">
        <v>0</v>
      </c>
      <c r="I866" s="17">
        <f t="shared" si="13"/>
        <v>47.25</v>
      </c>
      <c r="J866" s="1">
        <f>VLOOKUP(B866,'NOVACART DATA'!$B$2:$N$1001,13,FALSE)</f>
        <v>0</v>
      </c>
    </row>
    <row r="867" spans="1:10">
      <c r="A867" s="2">
        <f>VLOOKUP(B867,CHOOSE({1,2},'NOVACART DATA'!$B$2:$B$1001,'NOVACART DATA'!$A$2:$A$1001),2,FALSE)</f>
        <v>46007</v>
      </c>
      <c r="B867" s="1">
        <v>1287</v>
      </c>
      <c r="C867" s="1">
        <f>VLOOKUP(B867,'NOVACART DATA'!$B$2:$C$1000,2,FALSE)</f>
        <v>109</v>
      </c>
      <c r="D867" s="1">
        <v>6</v>
      </c>
      <c r="E867" s="1" t="str">
        <f>VLOOKUP(B867,'NOVACART DATA'!$B$2:$M$1001,5,FALSE)</f>
        <v>Direct</v>
      </c>
      <c r="F867" s="1">
        <v>1</v>
      </c>
      <c r="G867" s="1">
        <v>70.47</v>
      </c>
      <c r="H867" s="1">
        <v>5</v>
      </c>
      <c r="I867" s="17">
        <f t="shared" si="13"/>
        <v>66.9465</v>
      </c>
      <c r="J867" s="1">
        <f>VLOOKUP(B867,'NOVACART DATA'!$B$2:$N$1001,13,FALSE)</f>
        <v>0</v>
      </c>
    </row>
    <row r="868" spans="1:10">
      <c r="A868" s="2">
        <f>VLOOKUP(B868,CHOOSE({1,2},'NOVACART DATA'!$B$2:$B$1001,'NOVACART DATA'!$A$2:$A$1001),2,FALSE)</f>
        <v>46015</v>
      </c>
      <c r="B868" s="1">
        <v>1321</v>
      </c>
      <c r="C868" s="1">
        <f>VLOOKUP(B868,'NOVACART DATA'!$B$2:$C$1000,2,FALSE)</f>
        <v>109</v>
      </c>
      <c r="D868" s="1">
        <v>36</v>
      </c>
      <c r="E868" s="1" t="str">
        <f>VLOOKUP(B868,'NOVACART DATA'!$B$2:$M$1001,5,FALSE)</f>
        <v>Direct</v>
      </c>
      <c r="F868" s="1">
        <v>1</v>
      </c>
      <c r="G868" s="1">
        <v>23.23</v>
      </c>
      <c r="H868" s="1">
        <v>10</v>
      </c>
      <c r="I868" s="17">
        <f t="shared" si="13"/>
        <v>20.907</v>
      </c>
      <c r="J868" s="1">
        <f>VLOOKUP(B868,'NOVACART DATA'!$B$2:$N$1001,13,FALSE)</f>
        <v>0</v>
      </c>
    </row>
    <row r="869" spans="1:10">
      <c r="A869" s="2">
        <f>VLOOKUP(B869,CHOOSE({1,2},'NOVACART DATA'!$B$2:$B$1001,'NOVACART DATA'!$A$2:$A$1001),2,FALSE)</f>
        <v>46015</v>
      </c>
      <c r="B869" s="1">
        <v>1321</v>
      </c>
      <c r="C869" s="1">
        <f>VLOOKUP(B869,'NOVACART DATA'!$B$2:$C$1000,2,FALSE)</f>
        <v>109</v>
      </c>
      <c r="D869" s="1">
        <v>28</v>
      </c>
      <c r="E869" s="1" t="str">
        <f>VLOOKUP(B869,'NOVACART DATA'!$B$2:$M$1001,5,FALSE)</f>
        <v>Direct</v>
      </c>
      <c r="F869" s="1">
        <v>1</v>
      </c>
      <c r="G869" s="1">
        <v>21.24</v>
      </c>
      <c r="H869" s="1">
        <v>0</v>
      </c>
      <c r="I869" s="17">
        <f t="shared" si="13"/>
        <v>21.24</v>
      </c>
      <c r="J869" s="1">
        <f>VLOOKUP(B869,'NOVACART DATA'!$B$2:$N$1001,13,FALSE)</f>
        <v>0</v>
      </c>
    </row>
    <row r="870" spans="1:10">
      <c r="A870" s="2">
        <f>VLOOKUP(B870,CHOOSE({1,2},'NOVACART DATA'!$B$2:$B$1001,'NOVACART DATA'!$A$2:$A$1001),2,FALSE)</f>
        <v>46015</v>
      </c>
      <c r="B870" s="1">
        <v>1321</v>
      </c>
      <c r="C870" s="1">
        <f>VLOOKUP(B870,'NOVACART DATA'!$B$2:$C$1000,2,FALSE)</f>
        <v>109</v>
      </c>
      <c r="D870" s="1">
        <v>27</v>
      </c>
      <c r="E870" s="1" t="str">
        <f>VLOOKUP(B870,'NOVACART DATA'!$B$2:$M$1001,5,FALSE)</f>
        <v>Direct</v>
      </c>
      <c r="F870" s="1">
        <v>1</v>
      </c>
      <c r="G870" s="1">
        <v>27.3</v>
      </c>
      <c r="H870" s="1">
        <v>10</v>
      </c>
      <c r="I870" s="17">
        <f t="shared" si="13"/>
        <v>24.57</v>
      </c>
      <c r="J870" s="1">
        <f>VLOOKUP(B870,'NOVACART DATA'!$B$2:$N$1001,13,FALSE)</f>
        <v>0</v>
      </c>
    </row>
    <row r="871" spans="1:10">
      <c r="A871" s="2">
        <f>VLOOKUP(B871,CHOOSE({1,2},'NOVACART DATA'!$B$2:$B$1001,'NOVACART DATA'!$A$2:$A$1001),2,FALSE)</f>
        <v>46015</v>
      </c>
      <c r="B871" s="1">
        <v>1321</v>
      </c>
      <c r="C871" s="1">
        <f>VLOOKUP(B871,'NOVACART DATA'!$B$2:$C$1000,2,FALSE)</f>
        <v>109</v>
      </c>
      <c r="D871" s="1">
        <v>21</v>
      </c>
      <c r="E871" s="1" t="str">
        <f>VLOOKUP(B871,'NOVACART DATA'!$B$2:$M$1001,5,FALSE)</f>
        <v>Direct</v>
      </c>
      <c r="F871" s="1">
        <v>3</v>
      </c>
      <c r="G871" s="1">
        <v>49.37</v>
      </c>
      <c r="H871" s="1">
        <v>5</v>
      </c>
      <c r="I871" s="17">
        <f t="shared" si="13"/>
        <v>140.70449999999997</v>
      </c>
      <c r="J871" s="1">
        <f>VLOOKUP(B871,'NOVACART DATA'!$B$2:$N$1001,13,FALSE)</f>
        <v>0</v>
      </c>
    </row>
    <row r="872" spans="1:10">
      <c r="A872" s="2">
        <f>VLOOKUP(B872,CHOOSE({1,2},'NOVACART DATA'!$B$2:$B$1001,'NOVACART DATA'!$A$2:$A$1001),2,FALSE)</f>
        <v>46016</v>
      </c>
      <c r="B872" s="1">
        <v>1328</v>
      </c>
      <c r="C872" s="1">
        <f>VLOOKUP(B872,'NOVACART DATA'!$B$2:$C$1000,2,FALSE)</f>
        <v>109</v>
      </c>
      <c r="D872" s="1">
        <v>36</v>
      </c>
      <c r="E872" s="1" t="str">
        <f>VLOOKUP(B872,'NOVACART DATA'!$B$2:$M$1001,5,FALSE)</f>
        <v>Direct</v>
      </c>
      <c r="F872" s="1">
        <v>2</v>
      </c>
      <c r="G872" s="1">
        <v>23.23</v>
      </c>
      <c r="H872" s="1">
        <v>10</v>
      </c>
      <c r="I872" s="17">
        <f t="shared" si="13"/>
        <v>41.814</v>
      </c>
      <c r="J872" s="1">
        <f>VLOOKUP(B872,'NOVACART DATA'!$B$2:$N$1001,13,FALSE)</f>
        <v>0</v>
      </c>
    </row>
    <row r="873" spans="1:10">
      <c r="A873" s="2">
        <f>VLOOKUP(B873,CHOOSE({1,2},'NOVACART DATA'!$B$2:$B$1001,'NOVACART DATA'!$A$2:$A$1001),2,FALSE)</f>
        <v>46054</v>
      </c>
      <c r="B873" s="1">
        <v>1367</v>
      </c>
      <c r="C873" s="1">
        <f>VLOOKUP(B873,'NOVACART DATA'!$B$2:$C$1000,2,FALSE)</f>
        <v>109</v>
      </c>
      <c r="D873" s="1">
        <v>5</v>
      </c>
      <c r="E873" s="1" t="str">
        <f>VLOOKUP(B873,'NOVACART DATA'!$B$2:$M$1001,5,FALSE)</f>
        <v>Organic</v>
      </c>
      <c r="F873" s="1">
        <v>1</v>
      </c>
      <c r="G873" s="1">
        <v>42.53</v>
      </c>
      <c r="H873" s="1">
        <v>10</v>
      </c>
      <c r="I873" s="17">
        <f t="shared" si="13"/>
        <v>38.277000000000001</v>
      </c>
      <c r="J873" s="1">
        <f>VLOOKUP(B873,'NOVACART DATA'!$B$2:$N$1001,13,FALSE)</f>
        <v>0</v>
      </c>
    </row>
    <row r="874" spans="1:10">
      <c r="A874" s="2">
        <f>VLOOKUP(B874,CHOOSE({1,2},'NOVACART DATA'!$B$2:$B$1001,'NOVACART DATA'!$A$2:$A$1001),2,FALSE)</f>
        <v>46033</v>
      </c>
      <c r="B874" s="1">
        <v>1393</v>
      </c>
      <c r="C874" s="1">
        <f>VLOOKUP(B874,'NOVACART DATA'!$B$2:$C$1000,2,FALSE)</f>
        <v>109</v>
      </c>
      <c r="D874" s="1">
        <v>34</v>
      </c>
      <c r="E874" s="1" t="str">
        <f>VLOOKUP(B874,'NOVACART DATA'!$B$2:$M$1001,5,FALSE)</f>
        <v>Direct</v>
      </c>
      <c r="F874" s="1">
        <v>1</v>
      </c>
      <c r="G874" s="1">
        <v>58.26</v>
      </c>
      <c r="H874" s="1">
        <v>25</v>
      </c>
      <c r="I874" s="17">
        <f t="shared" si="13"/>
        <v>43.695</v>
      </c>
      <c r="J874" s="1">
        <f>VLOOKUP(B874,'NOVACART DATA'!$B$2:$N$1001,13,FALSE)</f>
        <v>0</v>
      </c>
    </row>
    <row r="875" spans="1:10">
      <c r="A875" s="2">
        <f>VLOOKUP(B875,CHOOSE({1,2},'NOVACART DATA'!$B$2:$B$1001,'NOVACART DATA'!$A$2:$A$1001),2,FALSE)</f>
        <v>46357</v>
      </c>
      <c r="B875" s="1">
        <v>1400</v>
      </c>
      <c r="C875" s="1">
        <f>VLOOKUP(B875,'NOVACART DATA'!$B$2:$C$1000,2,FALSE)</f>
        <v>109</v>
      </c>
      <c r="D875" s="1">
        <v>29</v>
      </c>
      <c r="E875" s="1" t="str">
        <f>VLOOKUP(B875,'NOVACART DATA'!$B$2:$M$1001,5,FALSE)</f>
        <v>Direct</v>
      </c>
      <c r="F875" s="1">
        <v>3</v>
      </c>
      <c r="G875" s="1">
        <v>45.67</v>
      </c>
      <c r="H875" s="1">
        <v>5</v>
      </c>
      <c r="I875" s="17">
        <f t="shared" si="13"/>
        <v>130.15949999999998</v>
      </c>
      <c r="J875" s="1">
        <f>VLOOKUP(B875,'NOVACART DATA'!$B$2:$N$1001,13,FALSE)</f>
        <v>0</v>
      </c>
    </row>
    <row r="876" spans="1:10">
      <c r="A876" s="2">
        <f>VLOOKUP(B876,CHOOSE({1,2},'NOVACART DATA'!$B$2:$B$1001,'NOVACART DATA'!$A$2:$A$1001),2,FALSE)</f>
        <v>46357</v>
      </c>
      <c r="B876" s="1">
        <v>1400</v>
      </c>
      <c r="C876" s="1">
        <f>VLOOKUP(B876,'NOVACART DATA'!$B$2:$C$1000,2,FALSE)</f>
        <v>109</v>
      </c>
      <c r="D876" s="1">
        <v>38</v>
      </c>
      <c r="E876" s="1" t="str">
        <f>VLOOKUP(B876,'NOVACART DATA'!$B$2:$M$1001,5,FALSE)</f>
        <v>Direct</v>
      </c>
      <c r="F876" s="1">
        <v>2</v>
      </c>
      <c r="G876" s="1">
        <v>25.14</v>
      </c>
      <c r="H876" s="1">
        <v>5</v>
      </c>
      <c r="I876" s="17">
        <f t="shared" si="13"/>
        <v>47.765999999999998</v>
      </c>
      <c r="J876" s="1">
        <f>VLOOKUP(B876,'NOVACART DATA'!$B$2:$N$1001,13,FALSE)</f>
        <v>0</v>
      </c>
    </row>
    <row r="877" spans="1:10">
      <c r="A877" s="2">
        <f>VLOOKUP(B877,CHOOSE({1,2},'NOVACART DATA'!$B$2:$B$1001,'NOVACART DATA'!$A$2:$A$1001),2,FALSE)</f>
        <v>46016</v>
      </c>
      <c r="B877" s="1">
        <v>1449</v>
      </c>
      <c r="C877" s="1">
        <f>VLOOKUP(B877,'NOVACART DATA'!$B$2:$C$1000,2,FALSE)</f>
        <v>109</v>
      </c>
      <c r="D877" s="1">
        <v>19</v>
      </c>
      <c r="E877" s="1" t="str">
        <f>VLOOKUP(B877,'NOVACART DATA'!$B$2:$M$1001,5,FALSE)</f>
        <v>Direct</v>
      </c>
      <c r="F877" s="1">
        <v>3</v>
      </c>
      <c r="G877" s="1">
        <v>50.14</v>
      </c>
      <c r="H877" s="1">
        <v>20</v>
      </c>
      <c r="I877" s="17">
        <f t="shared" si="13"/>
        <v>120.33600000000001</v>
      </c>
      <c r="J877" s="1">
        <f>VLOOKUP(B877,'NOVACART DATA'!$B$2:$N$1001,13,FALSE)</f>
        <v>0</v>
      </c>
    </row>
    <row r="878" spans="1:10">
      <c r="A878" s="2">
        <f>VLOOKUP(B878,CHOOSE({1,2},'NOVACART DATA'!$B$2:$B$1001,'NOVACART DATA'!$A$2:$A$1001),2,FALSE)</f>
        <v>46016</v>
      </c>
      <c r="B878" s="1">
        <v>1449</v>
      </c>
      <c r="C878" s="1">
        <f>VLOOKUP(B878,'NOVACART DATA'!$B$2:$C$1000,2,FALSE)</f>
        <v>109</v>
      </c>
      <c r="D878" s="1">
        <v>35</v>
      </c>
      <c r="E878" s="1" t="str">
        <f>VLOOKUP(B878,'NOVACART DATA'!$B$2:$M$1001,5,FALSE)</f>
        <v>Direct</v>
      </c>
      <c r="F878" s="1">
        <v>1</v>
      </c>
      <c r="G878" s="1">
        <v>11.3</v>
      </c>
      <c r="H878" s="1">
        <v>20</v>
      </c>
      <c r="I878" s="17">
        <f t="shared" si="13"/>
        <v>9.0400000000000009</v>
      </c>
      <c r="J878" s="1">
        <f>VLOOKUP(B878,'NOVACART DATA'!$B$2:$N$1001,13,FALSE)</f>
        <v>0</v>
      </c>
    </row>
    <row r="879" spans="1:10">
      <c r="A879" s="2">
        <f>VLOOKUP(B879,CHOOSE({1,2},'NOVACART DATA'!$B$2:$B$1001,'NOVACART DATA'!$A$2:$A$1001),2,FALSE)</f>
        <v>46016</v>
      </c>
      <c r="B879" s="1">
        <v>1449</v>
      </c>
      <c r="C879" s="1">
        <f>VLOOKUP(B879,'NOVACART DATA'!$B$2:$C$1000,2,FALSE)</f>
        <v>109</v>
      </c>
      <c r="D879" s="1">
        <v>23</v>
      </c>
      <c r="E879" s="1" t="str">
        <f>VLOOKUP(B879,'NOVACART DATA'!$B$2:$M$1001,5,FALSE)</f>
        <v>Direct</v>
      </c>
      <c r="F879" s="1">
        <v>1</v>
      </c>
      <c r="G879" s="1">
        <v>38.14</v>
      </c>
      <c r="H879" s="1">
        <v>20</v>
      </c>
      <c r="I879" s="17">
        <f t="shared" si="13"/>
        <v>30.512</v>
      </c>
      <c r="J879" s="1">
        <f>VLOOKUP(B879,'NOVACART DATA'!$B$2:$N$1001,13,FALSE)</f>
        <v>0</v>
      </c>
    </row>
    <row r="880" spans="1:10">
      <c r="A880" s="2">
        <f>VLOOKUP(B880,CHOOSE({1,2},'NOVACART DATA'!$B$2:$B$1001,'NOVACART DATA'!$A$2:$A$1001),2,FALSE)</f>
        <v>46267</v>
      </c>
      <c r="B880" s="1">
        <v>1468</v>
      </c>
      <c r="C880" s="1">
        <f>VLOOKUP(B880,'NOVACART DATA'!$B$2:$C$1000,2,FALSE)</f>
        <v>109</v>
      </c>
      <c r="D880" s="1">
        <v>31</v>
      </c>
      <c r="E880" s="1" t="str">
        <f>VLOOKUP(B880,'NOVACART DATA'!$B$2:$M$1001,5,FALSE)</f>
        <v>Direct</v>
      </c>
      <c r="F880" s="1">
        <v>1</v>
      </c>
      <c r="G880" s="1">
        <v>57.51</v>
      </c>
      <c r="H880" s="1">
        <v>0</v>
      </c>
      <c r="I880" s="17">
        <f t="shared" si="13"/>
        <v>57.51</v>
      </c>
      <c r="J880" s="1">
        <f>VLOOKUP(B880,'NOVACART DATA'!$B$2:$N$1001,13,FALSE)</f>
        <v>0</v>
      </c>
    </row>
    <row r="881" spans="1:10">
      <c r="A881" s="2">
        <f>VLOOKUP(B881,CHOOSE({1,2},'NOVACART DATA'!$B$2:$B$1001,'NOVACART DATA'!$A$2:$A$1001),2,FALSE)</f>
        <v>46075</v>
      </c>
      <c r="B881" s="1">
        <v>1522</v>
      </c>
      <c r="C881" s="1">
        <f>VLOOKUP(B881,'NOVACART DATA'!$B$2:$C$1000,2,FALSE)</f>
        <v>109</v>
      </c>
      <c r="D881" s="1">
        <v>2</v>
      </c>
      <c r="E881" s="1" t="str">
        <f>VLOOKUP(B881,'NOVACART DATA'!$B$2:$M$1001,5,FALSE)</f>
        <v>Direct</v>
      </c>
      <c r="F881" s="1">
        <v>1</v>
      </c>
      <c r="G881" s="1">
        <v>64.02</v>
      </c>
      <c r="H881" s="1">
        <v>0</v>
      </c>
      <c r="I881" s="17">
        <f t="shared" si="13"/>
        <v>64.02</v>
      </c>
      <c r="J881" s="1">
        <f>VLOOKUP(B881,'NOVACART DATA'!$B$2:$N$1001,13,FALSE)</f>
        <v>0</v>
      </c>
    </row>
    <row r="882" spans="1:10">
      <c r="A882" s="2">
        <f>VLOOKUP(B882,CHOOSE({1,2},'NOVACART DATA'!$B$2:$B$1001,'NOVACART DATA'!$A$2:$A$1001),2,FALSE)</f>
        <v>46075</v>
      </c>
      <c r="B882" s="1">
        <v>1522</v>
      </c>
      <c r="C882" s="1">
        <f>VLOOKUP(B882,'NOVACART DATA'!$B$2:$C$1000,2,FALSE)</f>
        <v>109</v>
      </c>
      <c r="D882" s="1">
        <v>37</v>
      </c>
      <c r="E882" s="1" t="str">
        <f>VLOOKUP(B882,'NOVACART DATA'!$B$2:$M$1001,5,FALSE)</f>
        <v>Direct</v>
      </c>
      <c r="F882" s="1">
        <v>1</v>
      </c>
      <c r="G882" s="1">
        <v>52.67</v>
      </c>
      <c r="H882" s="1">
        <v>10</v>
      </c>
      <c r="I882" s="17">
        <f t="shared" si="13"/>
        <v>47.403000000000006</v>
      </c>
      <c r="J882" s="1">
        <f>VLOOKUP(B882,'NOVACART DATA'!$B$2:$N$1001,13,FALSE)</f>
        <v>0</v>
      </c>
    </row>
    <row r="883" spans="1:10">
      <c r="A883" s="2">
        <f>VLOOKUP(B883,CHOOSE({1,2},'NOVACART DATA'!$B$2:$B$1001,'NOVACART DATA'!$A$2:$A$1001),2,FALSE)</f>
        <v>46075</v>
      </c>
      <c r="B883" s="1">
        <v>1522</v>
      </c>
      <c r="C883" s="1">
        <f>VLOOKUP(B883,'NOVACART DATA'!$B$2:$C$1000,2,FALSE)</f>
        <v>109</v>
      </c>
      <c r="D883" s="1">
        <v>30</v>
      </c>
      <c r="E883" s="1" t="str">
        <f>VLOOKUP(B883,'NOVACART DATA'!$B$2:$M$1001,5,FALSE)</f>
        <v>Direct</v>
      </c>
      <c r="F883" s="1">
        <v>1</v>
      </c>
      <c r="G883" s="1">
        <v>41.49</v>
      </c>
      <c r="H883" s="1">
        <v>0</v>
      </c>
      <c r="I883" s="17">
        <f t="shared" si="13"/>
        <v>41.49</v>
      </c>
      <c r="J883" s="1">
        <f>VLOOKUP(B883,'NOVACART DATA'!$B$2:$N$1001,13,FALSE)</f>
        <v>0</v>
      </c>
    </row>
    <row r="884" spans="1:10">
      <c r="A884" s="2">
        <f>VLOOKUP(B884,CHOOSE({1,2},'NOVACART DATA'!$B$2:$B$1001,'NOVACART DATA'!$A$2:$A$1001),2,FALSE)</f>
        <v>45985</v>
      </c>
      <c r="B884" s="1">
        <v>1044</v>
      </c>
      <c r="C884" s="1">
        <f>VLOOKUP(B884,'NOVACART DATA'!$B$2:$C$1000,2,FALSE)</f>
        <v>5</v>
      </c>
      <c r="D884" s="1">
        <v>8</v>
      </c>
      <c r="E884" s="1" t="str">
        <f>VLOOKUP(B884,'NOVACART DATA'!$B$2:$M$1001,5,FALSE)</f>
        <v>Email</v>
      </c>
      <c r="F884" s="1">
        <v>1</v>
      </c>
      <c r="G884" s="1">
        <v>16.72</v>
      </c>
      <c r="H884" s="1">
        <v>0</v>
      </c>
      <c r="I884" s="17">
        <f t="shared" si="13"/>
        <v>16.72</v>
      </c>
      <c r="J884" s="1">
        <f>VLOOKUP(B884,'NOVACART DATA'!$B$2:$N$1001,13,FALSE)</f>
        <v>0</v>
      </c>
    </row>
    <row r="885" spans="1:10">
      <c r="A885" s="2">
        <f>VLOOKUP(B885,CHOOSE({1,2},'NOVACART DATA'!$B$2:$B$1001,'NOVACART DATA'!$A$2:$A$1001),2,FALSE)</f>
        <v>46079</v>
      </c>
      <c r="B885" s="1">
        <v>1533</v>
      </c>
      <c r="C885" s="1">
        <f>VLOOKUP(B885,'NOVACART DATA'!$B$2:$C$1000,2,FALSE)</f>
        <v>109</v>
      </c>
      <c r="D885" s="1">
        <v>31</v>
      </c>
      <c r="E885" s="1" t="str">
        <f>VLOOKUP(B885,'NOVACART DATA'!$B$2:$M$1001,5,FALSE)</f>
        <v>Direct</v>
      </c>
      <c r="F885" s="1">
        <v>1</v>
      </c>
      <c r="G885" s="1">
        <v>57.51</v>
      </c>
      <c r="H885" s="1">
        <v>0</v>
      </c>
      <c r="I885" s="17">
        <f t="shared" si="13"/>
        <v>57.51</v>
      </c>
      <c r="J885" s="1">
        <f>VLOOKUP(B885,'NOVACART DATA'!$B$2:$N$1001,13,FALSE)</f>
        <v>0</v>
      </c>
    </row>
    <row r="886" spans="1:10">
      <c r="A886" s="2">
        <f>VLOOKUP(B886,CHOOSE({1,2},'NOVACART DATA'!$B$2:$B$1001,'NOVACART DATA'!$A$2:$A$1001),2,FALSE)</f>
        <v>46080</v>
      </c>
      <c r="B886" s="1">
        <v>1539</v>
      </c>
      <c r="C886" s="1">
        <f>VLOOKUP(B886,'NOVACART DATA'!$B$2:$C$1000,2,FALSE)</f>
        <v>109</v>
      </c>
      <c r="D886" s="1">
        <v>27</v>
      </c>
      <c r="E886" s="1" t="str">
        <f>VLOOKUP(B886,'NOVACART DATA'!$B$2:$M$1001,5,FALSE)</f>
        <v>Direct</v>
      </c>
      <c r="F886" s="1">
        <v>1</v>
      </c>
      <c r="G886" s="1">
        <v>27.3</v>
      </c>
      <c r="H886" s="1">
        <v>10</v>
      </c>
      <c r="I886" s="17">
        <f t="shared" si="13"/>
        <v>24.57</v>
      </c>
      <c r="J886" s="1">
        <f>VLOOKUP(B886,'NOVACART DATA'!$B$2:$N$1001,13,FALSE)</f>
        <v>0</v>
      </c>
    </row>
    <row r="887" spans="1:10">
      <c r="A887" s="2">
        <f>VLOOKUP(B887,CHOOSE({1,2},'NOVACART DATA'!$B$2:$B$1001,'NOVACART DATA'!$A$2:$A$1001),2,FALSE)</f>
        <v>46080</v>
      </c>
      <c r="B887" s="1">
        <v>1539</v>
      </c>
      <c r="C887" s="1">
        <f>VLOOKUP(B887,'NOVACART DATA'!$B$2:$C$1000,2,FALSE)</f>
        <v>109</v>
      </c>
      <c r="D887" s="1">
        <v>17</v>
      </c>
      <c r="E887" s="1" t="str">
        <f>VLOOKUP(B887,'NOVACART DATA'!$B$2:$M$1001,5,FALSE)</f>
        <v>Direct</v>
      </c>
      <c r="F887" s="1">
        <v>1</v>
      </c>
      <c r="G887" s="1">
        <v>6.61</v>
      </c>
      <c r="H887" s="1">
        <v>0</v>
      </c>
      <c r="I887" s="17">
        <f t="shared" si="13"/>
        <v>6.61</v>
      </c>
      <c r="J887" s="1">
        <f>VLOOKUP(B887,'NOVACART DATA'!$B$2:$N$1001,13,FALSE)</f>
        <v>0</v>
      </c>
    </row>
    <row r="888" spans="1:10">
      <c r="A888" s="2">
        <f>VLOOKUP(B888,CHOOSE({1,2},'NOVACART DATA'!$B$2:$B$1001,'NOVACART DATA'!$A$2:$A$1001),2,FALSE)</f>
        <v>46080</v>
      </c>
      <c r="B888" s="1">
        <v>1539</v>
      </c>
      <c r="C888" s="1">
        <f>VLOOKUP(B888,'NOVACART DATA'!$B$2:$C$1000,2,FALSE)</f>
        <v>109</v>
      </c>
      <c r="D888" s="1">
        <v>28</v>
      </c>
      <c r="E888" s="1" t="str">
        <f>VLOOKUP(B888,'NOVACART DATA'!$B$2:$M$1001,5,FALSE)</f>
        <v>Direct</v>
      </c>
      <c r="F888" s="1">
        <v>1</v>
      </c>
      <c r="G888" s="1">
        <v>21.24</v>
      </c>
      <c r="H888" s="1">
        <v>0</v>
      </c>
      <c r="I888" s="17">
        <f t="shared" si="13"/>
        <v>21.24</v>
      </c>
      <c r="J888" s="1">
        <f>VLOOKUP(B888,'NOVACART DATA'!$B$2:$N$1001,13,FALSE)</f>
        <v>0</v>
      </c>
    </row>
    <row r="889" spans="1:10">
      <c r="A889" s="2">
        <f>VLOOKUP(B889,CHOOSE({1,2},'NOVACART DATA'!$B$2:$B$1001,'NOVACART DATA'!$A$2:$A$1001),2,FALSE)</f>
        <v>45942</v>
      </c>
      <c r="B889" s="1">
        <v>1251</v>
      </c>
      <c r="C889" s="1">
        <f>VLOOKUP(B889,'NOVACART DATA'!$B$2:$C$1000,2,FALSE)</f>
        <v>109</v>
      </c>
      <c r="D889" s="1">
        <v>7</v>
      </c>
      <c r="E889" s="1" t="str">
        <f>VLOOKUP(B889,'NOVACART DATA'!$B$2:$M$1001,5,FALSE)</f>
        <v>Direct</v>
      </c>
      <c r="F889" s="1">
        <v>1</v>
      </c>
      <c r="G889" s="1">
        <v>79.39</v>
      </c>
      <c r="H889" s="1">
        <v>5</v>
      </c>
      <c r="I889" s="17">
        <f t="shared" si="13"/>
        <v>75.420500000000004</v>
      </c>
      <c r="J889" s="1">
        <f>VLOOKUP(B889,'NOVACART DATA'!$B$2:$N$1001,13,FALSE)</f>
        <v>0</v>
      </c>
    </row>
    <row r="890" spans="1:10">
      <c r="A890" s="2">
        <f>VLOOKUP(B890,CHOOSE({1,2},'NOVACART DATA'!$B$2:$B$1001,'NOVACART DATA'!$A$2:$A$1001),2,FALSE)</f>
        <v>46004</v>
      </c>
      <c r="B890" s="1">
        <v>1273</v>
      </c>
      <c r="C890" s="1">
        <f>VLOOKUP(B890,'NOVACART DATA'!$B$2:$C$1000,2,FALSE)</f>
        <v>109</v>
      </c>
      <c r="D890" s="1">
        <v>8</v>
      </c>
      <c r="E890" s="1" t="str">
        <f>VLOOKUP(B890,'NOVACART DATA'!$B$2:$M$1001,5,FALSE)</f>
        <v>Direct</v>
      </c>
      <c r="F890" s="1">
        <v>1</v>
      </c>
      <c r="G890" s="1">
        <v>16.72</v>
      </c>
      <c r="H890" s="1">
        <v>5</v>
      </c>
      <c r="I890" s="17">
        <f t="shared" si="13"/>
        <v>15.883999999999999</v>
      </c>
      <c r="J890" s="1">
        <f>VLOOKUP(B890,'NOVACART DATA'!$B$2:$N$1001,13,FALSE)</f>
        <v>0</v>
      </c>
    </row>
    <row r="891" spans="1:10">
      <c r="A891" s="2">
        <f>VLOOKUP(B891,CHOOSE({1,2},'NOVACART DATA'!$B$2:$B$1001,'NOVACART DATA'!$A$2:$A$1001),2,FALSE)</f>
        <v>46054</v>
      </c>
      <c r="B891" s="1">
        <v>1367</v>
      </c>
      <c r="C891" s="1">
        <f>VLOOKUP(B891,'NOVACART DATA'!$B$2:$C$1000,2,FALSE)</f>
        <v>109</v>
      </c>
      <c r="D891" s="1">
        <v>24</v>
      </c>
      <c r="E891" s="1" t="str">
        <f>VLOOKUP(B891,'NOVACART DATA'!$B$2:$M$1001,5,FALSE)</f>
        <v>Organic</v>
      </c>
      <c r="F891" s="1">
        <v>3</v>
      </c>
      <c r="G891" s="1">
        <v>43.42</v>
      </c>
      <c r="H891" s="1">
        <v>0</v>
      </c>
      <c r="I891" s="17">
        <f t="shared" si="13"/>
        <v>130.26</v>
      </c>
      <c r="J891" s="1">
        <f>VLOOKUP(B891,'NOVACART DATA'!$B$2:$N$1001,13,FALSE)</f>
        <v>0</v>
      </c>
    </row>
    <row r="892" spans="1:10">
      <c r="A892" s="2">
        <f>VLOOKUP(B892,CHOOSE({1,2},'NOVACART DATA'!$B$2:$B$1001,'NOVACART DATA'!$A$2:$A$1001),2,FALSE)</f>
        <v>46267</v>
      </c>
      <c r="B892" s="1">
        <v>1468</v>
      </c>
      <c r="C892" s="1">
        <f>VLOOKUP(B892,'NOVACART DATA'!$B$2:$C$1000,2,FALSE)</f>
        <v>109</v>
      </c>
      <c r="D892" s="1">
        <v>35</v>
      </c>
      <c r="E892" s="1" t="str">
        <f>VLOOKUP(B892,'NOVACART DATA'!$B$2:$M$1001,5,FALSE)</f>
        <v>Direct</v>
      </c>
      <c r="F892" s="1">
        <v>1</v>
      </c>
      <c r="G892" s="1">
        <v>11.3</v>
      </c>
      <c r="H892" s="1">
        <v>10</v>
      </c>
      <c r="I892" s="17">
        <f t="shared" si="13"/>
        <v>10.170000000000002</v>
      </c>
      <c r="J892" s="1">
        <f>VLOOKUP(B892,'NOVACART DATA'!$B$2:$N$1001,13,FALSE)</f>
        <v>0</v>
      </c>
    </row>
    <row r="893" spans="1:10">
      <c r="A893" s="2">
        <f>VLOOKUP(B893,CHOOSE({1,2},'NOVACART DATA'!$B$2:$B$1001,'NOVACART DATA'!$A$2:$A$1001),2,FALSE)</f>
        <v>45985</v>
      </c>
      <c r="B893" s="1">
        <v>1044</v>
      </c>
      <c r="C893" s="1">
        <f>VLOOKUP(B893,'NOVACART DATA'!$B$2:$C$1000,2,FALSE)</f>
        <v>5</v>
      </c>
      <c r="D893" s="1">
        <v>26</v>
      </c>
      <c r="E893" s="1" t="str">
        <f>VLOOKUP(B893,'NOVACART DATA'!$B$2:$M$1001,5,FALSE)</f>
        <v>Email</v>
      </c>
      <c r="F893" s="1">
        <v>1</v>
      </c>
      <c r="G893" s="1">
        <v>31.76</v>
      </c>
      <c r="H893" s="1">
        <v>0</v>
      </c>
      <c r="I893" s="17">
        <f t="shared" si="13"/>
        <v>31.76</v>
      </c>
      <c r="J893" s="1">
        <f>VLOOKUP(B893,'NOVACART DATA'!$B$2:$N$1001,13,FALSE)</f>
        <v>0</v>
      </c>
    </row>
    <row r="894" spans="1:10">
      <c r="A894" s="2">
        <f>VLOOKUP(B894,CHOOSE({1,2},'NOVACART DATA'!$B$2:$B$1001,'NOVACART DATA'!$A$2:$A$1001),2,FALSE)</f>
        <v>45942</v>
      </c>
      <c r="B894" s="1">
        <v>1252</v>
      </c>
      <c r="C894" s="1">
        <f>VLOOKUP(B894,'NOVACART DATA'!$B$2:$C$1000,2,FALSE)</f>
        <v>110</v>
      </c>
      <c r="D894" s="1">
        <v>24</v>
      </c>
      <c r="E894" s="1" t="str">
        <f>VLOOKUP(B894,'NOVACART DATA'!$B$2:$M$1001,5,FALSE)</f>
        <v>Paid Search</v>
      </c>
      <c r="F894" s="1">
        <v>2</v>
      </c>
      <c r="G894" s="1">
        <v>43.42</v>
      </c>
      <c r="H894" s="1">
        <v>20</v>
      </c>
      <c r="I894" s="17">
        <f t="shared" si="13"/>
        <v>69.472000000000008</v>
      </c>
      <c r="J894" s="1">
        <f>VLOOKUP(B894,'NOVACART DATA'!$B$2:$N$1001,13,FALSE)</f>
        <v>0</v>
      </c>
    </row>
    <row r="895" spans="1:10">
      <c r="A895" s="2">
        <f>VLOOKUP(B895,CHOOSE({1,2},'NOVACART DATA'!$B$2:$B$1001,'NOVACART DATA'!$A$2:$A$1001),2,FALSE)</f>
        <v>46035</v>
      </c>
      <c r="B895" s="1">
        <v>1401</v>
      </c>
      <c r="C895" s="1">
        <f>VLOOKUP(B895,'NOVACART DATA'!$B$2:$C$1000,2,FALSE)</f>
        <v>110</v>
      </c>
      <c r="D895" s="1">
        <v>16</v>
      </c>
      <c r="E895" s="1" t="str">
        <f>VLOOKUP(B895,'NOVACART DATA'!$B$2:$M$1001,5,FALSE)</f>
        <v>Paid Search</v>
      </c>
      <c r="F895" s="1">
        <v>2</v>
      </c>
      <c r="G895" s="1">
        <v>11.81</v>
      </c>
      <c r="H895" s="1">
        <v>0</v>
      </c>
      <c r="I895" s="17">
        <f t="shared" si="13"/>
        <v>23.62</v>
      </c>
      <c r="J895" s="1">
        <f>VLOOKUP(B895,'NOVACART DATA'!$B$2:$N$1001,13,FALSE)</f>
        <v>0</v>
      </c>
    </row>
    <row r="896" spans="1:10">
      <c r="A896" s="2">
        <f>VLOOKUP(B896,CHOOSE({1,2},'NOVACART DATA'!$B$2:$B$1001,'NOVACART DATA'!$A$2:$A$1001),2,FALSE)</f>
        <v>46035</v>
      </c>
      <c r="B896" s="1">
        <v>1401</v>
      </c>
      <c r="C896" s="1">
        <f>VLOOKUP(B896,'NOVACART DATA'!$B$2:$C$1000,2,FALSE)</f>
        <v>110</v>
      </c>
      <c r="D896" s="1">
        <v>16</v>
      </c>
      <c r="E896" s="1" t="str">
        <f>VLOOKUP(B896,'NOVACART DATA'!$B$2:$M$1001,5,FALSE)</f>
        <v>Paid Search</v>
      </c>
      <c r="F896" s="1">
        <v>2</v>
      </c>
      <c r="G896" s="1">
        <v>11.81</v>
      </c>
      <c r="H896" s="1">
        <v>0</v>
      </c>
      <c r="I896" s="17">
        <f t="shared" si="13"/>
        <v>23.62</v>
      </c>
      <c r="J896" s="1">
        <f>VLOOKUP(B896,'NOVACART DATA'!$B$2:$N$1001,13,FALSE)</f>
        <v>0</v>
      </c>
    </row>
    <row r="897" spans="1:10">
      <c r="A897" s="2">
        <f>VLOOKUP(B897,CHOOSE({1,2},'NOVACART DATA'!$B$2:$B$1001,'NOVACART DATA'!$A$2:$A$1001),2,FALSE)</f>
        <v>46050</v>
      </c>
      <c r="B897" s="1">
        <v>1438</v>
      </c>
      <c r="C897" s="1">
        <f>VLOOKUP(B897,'NOVACART DATA'!$B$2:$C$1000,2,FALSE)</f>
        <v>110</v>
      </c>
      <c r="D897" s="1">
        <v>33</v>
      </c>
      <c r="E897" s="1" t="str">
        <f>VLOOKUP(B897,'NOVACART DATA'!$B$2:$M$1001,5,FALSE)</f>
        <v>Paid Search</v>
      </c>
      <c r="F897" s="1">
        <v>1</v>
      </c>
      <c r="G897" s="1">
        <v>40.94</v>
      </c>
      <c r="H897" s="1">
        <v>0</v>
      </c>
      <c r="I897" s="17">
        <f t="shared" si="13"/>
        <v>40.94</v>
      </c>
      <c r="J897" s="1">
        <f>VLOOKUP(B897,'NOVACART DATA'!$B$2:$N$1001,13,FALSE)</f>
        <v>0</v>
      </c>
    </row>
    <row r="898" spans="1:10">
      <c r="A898" s="2">
        <f>VLOOKUP(B898,CHOOSE({1,2},'NOVACART DATA'!$B$2:$B$1001,'NOVACART DATA'!$A$2:$A$1001),2,FALSE)</f>
        <v>46328</v>
      </c>
      <c r="B898" s="1">
        <v>1476</v>
      </c>
      <c r="C898" s="1">
        <f>VLOOKUP(B898,'NOVACART DATA'!$B$2:$C$1000,2,FALSE)</f>
        <v>110</v>
      </c>
      <c r="D898" s="1">
        <v>26</v>
      </c>
      <c r="E898" s="1" t="str">
        <f>VLOOKUP(B898,'NOVACART DATA'!$B$2:$M$1001,5,FALSE)</f>
        <v>Paid Search</v>
      </c>
      <c r="F898" s="1">
        <v>2</v>
      </c>
      <c r="G898" s="1">
        <v>31.76</v>
      </c>
      <c r="H898" s="1">
        <v>0</v>
      </c>
      <c r="I898" s="17">
        <f t="shared" ref="I898:I961" si="14">F898*G898*(1-H898/100)</f>
        <v>63.52</v>
      </c>
      <c r="J898" s="1">
        <f>VLOOKUP(B898,'NOVACART DATA'!$B$2:$N$1001,13,FALSE)</f>
        <v>0</v>
      </c>
    </row>
    <row r="899" spans="1:10">
      <c r="A899" s="2">
        <f>VLOOKUP(B899,CHOOSE({1,2},'NOVACART DATA'!$B$2:$B$1001,'NOVACART DATA'!$A$2:$A$1001),2,FALSE)</f>
        <v>46080</v>
      </c>
      <c r="B899" s="1">
        <v>1540</v>
      </c>
      <c r="C899" s="1">
        <f>VLOOKUP(B899,'NOVACART DATA'!$B$2:$C$1000,2,FALSE)</f>
        <v>110</v>
      </c>
      <c r="D899" s="1">
        <v>24</v>
      </c>
      <c r="E899" s="1" t="str">
        <f>VLOOKUP(B899,'NOVACART DATA'!$B$2:$M$1001,5,FALSE)</f>
        <v>Paid Search</v>
      </c>
      <c r="F899" s="1">
        <v>1</v>
      </c>
      <c r="G899" s="1">
        <v>43.42</v>
      </c>
      <c r="H899" s="1">
        <v>0</v>
      </c>
      <c r="I899" s="17">
        <f t="shared" si="14"/>
        <v>43.42</v>
      </c>
      <c r="J899" s="1">
        <f>VLOOKUP(B899,'NOVACART DATA'!$B$2:$N$1001,13,FALSE)</f>
        <v>0</v>
      </c>
    </row>
    <row r="900" spans="1:10">
      <c r="A900" s="2">
        <f>VLOOKUP(B900,CHOOSE({1,2},'NOVACART DATA'!$B$2:$B$1001,'NOVACART DATA'!$A$2:$A$1001),2,FALSE)</f>
        <v>46080</v>
      </c>
      <c r="B900" s="1">
        <v>1540</v>
      </c>
      <c r="C900" s="1">
        <f>VLOOKUP(B900,'NOVACART DATA'!$B$2:$C$1000,2,FALSE)</f>
        <v>110</v>
      </c>
      <c r="D900" s="1">
        <v>38</v>
      </c>
      <c r="E900" s="1" t="str">
        <f>VLOOKUP(B900,'NOVACART DATA'!$B$2:$M$1001,5,FALSE)</f>
        <v>Paid Search</v>
      </c>
      <c r="F900" s="1">
        <v>1</v>
      </c>
      <c r="G900" s="1">
        <v>25.14</v>
      </c>
      <c r="H900" s="1">
        <v>0</v>
      </c>
      <c r="I900" s="17">
        <f t="shared" si="14"/>
        <v>25.14</v>
      </c>
      <c r="J900" s="1">
        <f>VLOOKUP(B900,'NOVACART DATA'!$B$2:$N$1001,13,FALSE)</f>
        <v>0</v>
      </c>
    </row>
    <row r="901" spans="1:10">
      <c r="A901" s="2">
        <f>VLOOKUP(B901,CHOOSE({1,2},'NOVACART DATA'!$B$2:$B$1001,'NOVACART DATA'!$A$2:$A$1001),2,FALSE)</f>
        <v>45985</v>
      </c>
      <c r="B901" s="1">
        <v>1044</v>
      </c>
      <c r="C901" s="1">
        <f>VLOOKUP(B901,'NOVACART DATA'!$B$2:$C$1000,2,FALSE)</f>
        <v>5</v>
      </c>
      <c r="D901" s="1">
        <v>39</v>
      </c>
      <c r="E901" s="1" t="str">
        <f>VLOOKUP(B901,'NOVACART DATA'!$B$2:$M$1001,5,FALSE)</f>
        <v>Email</v>
      </c>
      <c r="F901" s="1">
        <v>2</v>
      </c>
      <c r="G901" s="1">
        <v>38.869999999999997</v>
      </c>
      <c r="H901" s="1">
        <v>0</v>
      </c>
      <c r="I901" s="17">
        <f t="shared" si="14"/>
        <v>77.739999999999995</v>
      </c>
      <c r="J901" s="1">
        <f>VLOOKUP(B901,'NOVACART DATA'!$B$2:$N$1001,13,FALSE)</f>
        <v>0</v>
      </c>
    </row>
    <row r="902" spans="1:10">
      <c r="A902" s="2">
        <f>VLOOKUP(B902,CHOOSE({1,2},'NOVACART DATA'!$B$2:$B$1001,'NOVACART DATA'!$A$2:$A$1001),2,FALSE)</f>
        <v>45982</v>
      </c>
      <c r="B902" s="1">
        <v>1162</v>
      </c>
      <c r="C902" s="1">
        <f>VLOOKUP(B902,'NOVACART DATA'!$B$2:$C$1000,2,FALSE)</f>
        <v>112</v>
      </c>
      <c r="D902" s="1">
        <v>15</v>
      </c>
      <c r="E902" s="1" t="str">
        <f>VLOOKUP(B902,'NOVACART DATA'!$B$2:$M$1001,5,FALSE)</f>
        <v>Paid Search</v>
      </c>
      <c r="F902" s="1">
        <v>3</v>
      </c>
      <c r="G902" s="1">
        <v>47.71</v>
      </c>
      <c r="H902" s="1">
        <v>0</v>
      </c>
      <c r="I902" s="17">
        <f t="shared" si="14"/>
        <v>143.13</v>
      </c>
      <c r="J902" s="1">
        <f>VLOOKUP(B902,'NOVACART DATA'!$B$2:$N$1001,13,FALSE)</f>
        <v>0</v>
      </c>
    </row>
    <row r="903" spans="1:10">
      <c r="A903" s="2">
        <f>VLOOKUP(B903,CHOOSE({1,2},'NOVACART DATA'!$B$2:$B$1001,'NOVACART DATA'!$A$2:$A$1001),2,FALSE)</f>
        <v>46015</v>
      </c>
      <c r="B903" s="1">
        <v>1322</v>
      </c>
      <c r="C903" s="1">
        <f>VLOOKUP(B903,'NOVACART DATA'!$B$2:$C$1000,2,FALSE)</f>
        <v>112</v>
      </c>
      <c r="D903" s="1">
        <v>31</v>
      </c>
      <c r="E903" s="1" t="str">
        <f>VLOOKUP(B903,'NOVACART DATA'!$B$2:$M$1001,5,FALSE)</f>
        <v>Organic</v>
      </c>
      <c r="F903" s="1">
        <v>1</v>
      </c>
      <c r="G903" s="1">
        <v>57.51</v>
      </c>
      <c r="H903" s="1">
        <v>15</v>
      </c>
      <c r="I903" s="17">
        <f t="shared" si="14"/>
        <v>48.883499999999998</v>
      </c>
      <c r="J903" s="1">
        <f>VLOOKUP(B903,'NOVACART DATA'!$B$2:$N$1001,13,FALSE)</f>
        <v>0</v>
      </c>
    </row>
    <row r="904" spans="1:10">
      <c r="A904" s="2">
        <f>VLOOKUP(B904,CHOOSE({1,2},'NOVACART DATA'!$B$2:$B$1001,'NOVACART DATA'!$A$2:$A$1001),2,FALSE)</f>
        <v>46016</v>
      </c>
      <c r="B904" s="1">
        <v>1503</v>
      </c>
      <c r="C904" s="1">
        <f>VLOOKUP(B904,'NOVACART DATA'!$B$2:$C$1000,2,FALSE)</f>
        <v>112</v>
      </c>
      <c r="D904" s="1">
        <v>12</v>
      </c>
      <c r="E904" s="1" t="str">
        <f>VLOOKUP(B904,'NOVACART DATA'!$B$2:$M$1001,5,FALSE)</f>
        <v>Paid Search</v>
      </c>
      <c r="F904" s="1">
        <v>1</v>
      </c>
      <c r="G904" s="1">
        <v>8.4499999999999993</v>
      </c>
      <c r="H904" s="1">
        <v>25</v>
      </c>
      <c r="I904" s="17">
        <f t="shared" si="14"/>
        <v>6.3374999999999995</v>
      </c>
      <c r="J904" s="1">
        <f>VLOOKUP(B904,'NOVACART DATA'!$B$2:$N$1001,13,FALSE)</f>
        <v>0</v>
      </c>
    </row>
    <row r="905" spans="1:10">
      <c r="A905" s="2">
        <f>VLOOKUP(B905,CHOOSE({1,2},'NOVACART DATA'!$B$2:$B$1001,'NOVACART DATA'!$A$2:$A$1001),2,FALSE)</f>
        <v>46016</v>
      </c>
      <c r="B905" s="1">
        <v>1503</v>
      </c>
      <c r="C905" s="1">
        <f>VLOOKUP(B905,'NOVACART DATA'!$B$2:$C$1000,2,FALSE)</f>
        <v>112</v>
      </c>
      <c r="D905" s="1">
        <v>24</v>
      </c>
      <c r="E905" s="1" t="str">
        <f>VLOOKUP(B905,'NOVACART DATA'!$B$2:$M$1001,5,FALSE)</f>
        <v>Paid Search</v>
      </c>
      <c r="F905" s="1">
        <v>1</v>
      </c>
      <c r="G905" s="1">
        <v>43.42</v>
      </c>
      <c r="H905" s="1">
        <v>20</v>
      </c>
      <c r="I905" s="17">
        <f t="shared" si="14"/>
        <v>34.736000000000004</v>
      </c>
      <c r="J905" s="1">
        <f>VLOOKUP(B905,'NOVACART DATA'!$B$2:$N$1001,13,FALSE)</f>
        <v>0</v>
      </c>
    </row>
    <row r="906" spans="1:10">
      <c r="A906" s="2">
        <f>VLOOKUP(B906,CHOOSE({1,2},'NOVACART DATA'!$B$2:$B$1001,'NOVACART DATA'!$A$2:$A$1001),2,FALSE)</f>
        <v>45974</v>
      </c>
      <c r="B906" s="1">
        <v>1121</v>
      </c>
      <c r="C906" s="1">
        <f>VLOOKUP(B906,'NOVACART DATA'!$B$2:$C$1000,2,FALSE)</f>
        <v>113</v>
      </c>
      <c r="D906" s="1">
        <v>16</v>
      </c>
      <c r="E906" s="1" t="str">
        <f>VLOOKUP(B906,'NOVACART DATA'!$B$2:$M$1001,5,FALSE)</f>
        <v>Paid Search</v>
      </c>
      <c r="F906" s="1">
        <v>1</v>
      </c>
      <c r="G906" s="1">
        <v>11.81</v>
      </c>
      <c r="H906" s="1">
        <v>0</v>
      </c>
      <c r="I906" s="17">
        <f t="shared" si="14"/>
        <v>11.81</v>
      </c>
      <c r="J906" s="1">
        <f>VLOOKUP(B906,'NOVACART DATA'!$B$2:$N$1001,13,FALSE)</f>
        <v>0</v>
      </c>
    </row>
    <row r="907" spans="1:10">
      <c r="A907" s="2">
        <f>VLOOKUP(B907,CHOOSE({1,2},'NOVACART DATA'!$B$2:$B$1001,'NOVACART DATA'!$A$2:$A$1001),2,FALSE)</f>
        <v>45974</v>
      </c>
      <c r="B907" s="1">
        <v>1121</v>
      </c>
      <c r="C907" s="1">
        <f>VLOOKUP(B907,'NOVACART DATA'!$B$2:$C$1000,2,FALSE)</f>
        <v>113</v>
      </c>
      <c r="D907" s="1">
        <v>27</v>
      </c>
      <c r="E907" s="1" t="str">
        <f>VLOOKUP(B907,'NOVACART DATA'!$B$2:$M$1001,5,FALSE)</f>
        <v>Paid Search</v>
      </c>
      <c r="F907" s="1">
        <v>1</v>
      </c>
      <c r="G907" s="1">
        <v>27.3</v>
      </c>
      <c r="H907" s="1">
        <v>0</v>
      </c>
      <c r="I907" s="17">
        <f t="shared" si="14"/>
        <v>27.3</v>
      </c>
      <c r="J907" s="1">
        <f>VLOOKUP(B907,'NOVACART DATA'!$B$2:$N$1001,13,FALSE)</f>
        <v>0</v>
      </c>
    </row>
    <row r="908" spans="1:10">
      <c r="A908" s="2">
        <f>VLOOKUP(B908,CHOOSE({1,2},'NOVACART DATA'!$B$2:$B$1001,'NOVACART DATA'!$A$2:$A$1001),2,FALSE)</f>
        <v>46021</v>
      </c>
      <c r="B908" s="1">
        <v>1360</v>
      </c>
      <c r="C908" s="1">
        <f>VLOOKUP(B908,'NOVACART DATA'!$B$2:$C$1000,2,FALSE)</f>
        <v>113</v>
      </c>
      <c r="D908" s="1">
        <v>21</v>
      </c>
      <c r="E908" s="1" t="str">
        <f>VLOOKUP(B908,'NOVACART DATA'!$B$2:$M$1001,5,FALSE)</f>
        <v>Paid Search</v>
      </c>
      <c r="F908" s="1">
        <v>1</v>
      </c>
      <c r="G908" s="1">
        <v>49.37</v>
      </c>
      <c r="H908" s="1">
        <v>0</v>
      </c>
      <c r="I908" s="17">
        <f t="shared" si="14"/>
        <v>49.37</v>
      </c>
      <c r="J908" s="1">
        <f>VLOOKUP(B908,'NOVACART DATA'!$B$2:$N$1001,13,FALSE)</f>
        <v>0</v>
      </c>
    </row>
    <row r="909" spans="1:10">
      <c r="A909" s="2">
        <f>VLOOKUP(B909,CHOOSE({1,2},'NOVACART DATA'!$B$2:$B$1001,'NOVACART DATA'!$A$2:$A$1001),2,FALSE)</f>
        <v>46021</v>
      </c>
      <c r="B909" s="1">
        <v>1360</v>
      </c>
      <c r="C909" s="1">
        <f>VLOOKUP(B909,'NOVACART DATA'!$B$2:$C$1000,2,FALSE)</f>
        <v>113</v>
      </c>
      <c r="D909" s="1">
        <v>15</v>
      </c>
      <c r="E909" s="1" t="str">
        <f>VLOOKUP(B909,'NOVACART DATA'!$B$2:$M$1001,5,FALSE)</f>
        <v>Paid Search</v>
      </c>
      <c r="F909" s="1">
        <v>2</v>
      </c>
      <c r="G909" s="1">
        <v>47.71</v>
      </c>
      <c r="H909" s="1">
        <v>0</v>
      </c>
      <c r="I909" s="17">
        <f t="shared" si="14"/>
        <v>95.42</v>
      </c>
      <c r="J909" s="1">
        <f>VLOOKUP(B909,'NOVACART DATA'!$B$2:$N$1001,13,FALSE)</f>
        <v>0</v>
      </c>
    </row>
    <row r="910" spans="1:10">
      <c r="A910" s="2">
        <f>VLOOKUP(B910,CHOOSE({1,2},'NOVACART DATA'!$B$2:$B$1001,'NOVACART DATA'!$A$2:$A$1001),2,FALSE)</f>
        <v>46021</v>
      </c>
      <c r="B910" s="1">
        <v>1360</v>
      </c>
      <c r="C910" s="1">
        <f>VLOOKUP(B910,'NOVACART DATA'!$B$2:$C$1000,2,FALSE)</f>
        <v>113</v>
      </c>
      <c r="D910" s="1">
        <v>8</v>
      </c>
      <c r="E910" s="1" t="str">
        <f>VLOOKUP(B910,'NOVACART DATA'!$B$2:$M$1001,5,FALSE)</f>
        <v>Paid Search</v>
      </c>
      <c r="F910" s="1">
        <v>1</v>
      </c>
      <c r="G910" s="1">
        <v>16.72</v>
      </c>
      <c r="H910" s="1">
        <v>0</v>
      </c>
      <c r="I910" s="17">
        <f t="shared" si="14"/>
        <v>16.72</v>
      </c>
      <c r="J910" s="1">
        <f>VLOOKUP(B910,'NOVACART DATA'!$B$2:$N$1001,13,FALSE)</f>
        <v>0</v>
      </c>
    </row>
    <row r="911" spans="1:10">
      <c r="A911" s="2">
        <f>VLOOKUP(B911,CHOOSE({1,2},'NOVACART DATA'!$B$2:$B$1001,'NOVACART DATA'!$A$2:$A$1001),2,FALSE)</f>
        <v>46055</v>
      </c>
      <c r="B911" s="1">
        <v>1448</v>
      </c>
      <c r="C911" s="1">
        <f>VLOOKUP(B911,'NOVACART DATA'!$B$2:$C$1000,2,FALSE)</f>
        <v>113</v>
      </c>
      <c r="D911" s="1">
        <v>34</v>
      </c>
      <c r="E911" s="1" t="str">
        <f>VLOOKUP(B911,'NOVACART DATA'!$B$2:$M$1001,5,FALSE)</f>
        <v>Paid Search</v>
      </c>
      <c r="F911" s="1">
        <v>1</v>
      </c>
      <c r="G911" s="1">
        <v>58.26</v>
      </c>
      <c r="H911" s="1">
        <v>0</v>
      </c>
      <c r="I911" s="17">
        <f t="shared" si="14"/>
        <v>58.26</v>
      </c>
      <c r="J911" s="1">
        <f>VLOOKUP(B911,'NOVACART DATA'!$B$2:$N$1001,13,FALSE)</f>
        <v>0</v>
      </c>
    </row>
    <row r="912" spans="1:10">
      <c r="A912" s="2">
        <f>VLOOKUP(B912,CHOOSE({1,2},'NOVACART DATA'!$B$2:$B$1001,'NOVACART DATA'!$A$2:$A$1001),2,FALSE)</f>
        <v>45990</v>
      </c>
      <c r="B912" s="1">
        <v>1197</v>
      </c>
      <c r="C912" s="1">
        <f>VLOOKUP(B912,'NOVACART DATA'!$B$2:$C$1000,2,FALSE)</f>
        <v>114</v>
      </c>
      <c r="D912" s="1">
        <v>27</v>
      </c>
      <c r="E912" s="1" t="str">
        <f>VLOOKUP(B912,'NOVACART DATA'!$B$2:$M$1001,5,FALSE)</f>
        <v>Paid Search</v>
      </c>
      <c r="F912" s="1">
        <v>1</v>
      </c>
      <c r="G912" s="1">
        <v>27.3</v>
      </c>
      <c r="H912" s="1">
        <v>10</v>
      </c>
      <c r="I912" s="17">
        <f t="shared" si="14"/>
        <v>24.57</v>
      </c>
      <c r="J912" s="1">
        <f>VLOOKUP(B912,'NOVACART DATA'!$B$2:$N$1001,13,FALSE)</f>
        <v>0</v>
      </c>
    </row>
    <row r="913" spans="1:10">
      <c r="A913" s="2">
        <f>VLOOKUP(B913,CHOOSE({1,2},'NOVACART DATA'!$B$2:$B$1001,'NOVACART DATA'!$A$2:$A$1001),2,FALSE)</f>
        <v>45990</v>
      </c>
      <c r="B913" s="1">
        <v>1197</v>
      </c>
      <c r="C913" s="1">
        <f>VLOOKUP(B913,'NOVACART DATA'!$B$2:$C$1000,2,FALSE)</f>
        <v>114</v>
      </c>
      <c r="D913" s="1">
        <v>22</v>
      </c>
      <c r="E913" s="1" t="str">
        <f>VLOOKUP(B913,'NOVACART DATA'!$B$2:$M$1001,5,FALSE)</f>
        <v>Paid Search</v>
      </c>
      <c r="F913" s="1">
        <v>1</v>
      </c>
      <c r="G913" s="1">
        <v>38.869999999999997</v>
      </c>
      <c r="H913" s="1">
        <v>15</v>
      </c>
      <c r="I913" s="17">
        <f t="shared" si="14"/>
        <v>33.039499999999997</v>
      </c>
      <c r="J913" s="1">
        <f>VLOOKUP(B913,'NOVACART DATA'!$B$2:$N$1001,13,FALSE)</f>
        <v>0</v>
      </c>
    </row>
    <row r="914" spans="1:10">
      <c r="A914" s="2">
        <f>VLOOKUP(B914,CHOOSE({1,2},'NOVACART DATA'!$B$2:$B$1001,'NOVACART DATA'!$A$2:$A$1001),2,FALSE)</f>
        <v>45669</v>
      </c>
      <c r="B914" s="1">
        <v>1211</v>
      </c>
      <c r="C914" s="1">
        <f>VLOOKUP(B914,'NOVACART DATA'!$B$2:$C$1000,2,FALSE)</f>
        <v>114</v>
      </c>
      <c r="D914" s="1">
        <v>15</v>
      </c>
      <c r="E914" s="1" t="str">
        <f>VLOOKUP(B914,'NOVACART DATA'!$B$2:$M$1001,5,FALSE)</f>
        <v>Paid Search</v>
      </c>
      <c r="F914" s="1">
        <v>2</v>
      </c>
      <c r="G914" s="1">
        <v>47.71</v>
      </c>
      <c r="H914" s="1">
        <v>10</v>
      </c>
      <c r="I914" s="17">
        <f t="shared" si="14"/>
        <v>85.878</v>
      </c>
      <c r="J914" s="1">
        <f>VLOOKUP(B914,'NOVACART DATA'!$B$2:$N$1001,13,FALSE)</f>
        <v>0</v>
      </c>
    </row>
    <row r="915" spans="1:10">
      <c r="A915" s="2">
        <f>VLOOKUP(B915,CHOOSE({1,2},'NOVACART DATA'!$B$2:$B$1001,'NOVACART DATA'!$A$2:$A$1001),2,FALSE)</f>
        <v>46296</v>
      </c>
      <c r="B915" s="1">
        <v>1389</v>
      </c>
      <c r="C915" s="1">
        <f>VLOOKUP(B915,'NOVACART DATA'!$B$2:$C$1000,2,FALSE)</f>
        <v>114</v>
      </c>
      <c r="D915" s="1">
        <v>30</v>
      </c>
      <c r="E915" s="1" t="str">
        <f>VLOOKUP(B915,'NOVACART DATA'!$B$2:$M$1001,5,FALSE)</f>
        <v>Paid Search</v>
      </c>
      <c r="F915" s="1">
        <v>1</v>
      </c>
      <c r="G915" s="1">
        <v>41.49</v>
      </c>
      <c r="H915" s="1">
        <v>0</v>
      </c>
      <c r="I915" s="17">
        <f t="shared" si="14"/>
        <v>41.49</v>
      </c>
      <c r="J915" s="1">
        <f>VLOOKUP(B915,'NOVACART DATA'!$B$2:$N$1001,13,FALSE)</f>
        <v>0</v>
      </c>
    </row>
    <row r="916" spans="1:10">
      <c r="A916" s="2">
        <f>VLOOKUP(B916,CHOOSE({1,2},'NOVACART DATA'!$B$2:$B$1001,'NOVACART DATA'!$A$2:$A$1001),2,FALSE)</f>
        <v>46296</v>
      </c>
      <c r="B916" s="1">
        <v>1389</v>
      </c>
      <c r="C916" s="1">
        <f>VLOOKUP(B916,'NOVACART DATA'!$B$2:$C$1000,2,FALSE)</f>
        <v>114</v>
      </c>
      <c r="D916" s="1">
        <v>4</v>
      </c>
      <c r="E916" s="1" t="str">
        <f>VLOOKUP(B916,'NOVACART DATA'!$B$2:$M$1001,5,FALSE)</f>
        <v>Paid Search</v>
      </c>
      <c r="F916" s="1">
        <v>3</v>
      </c>
      <c r="G916" s="1">
        <v>34.83</v>
      </c>
      <c r="H916" s="1">
        <v>0</v>
      </c>
      <c r="I916" s="17">
        <f t="shared" si="14"/>
        <v>104.49</v>
      </c>
      <c r="J916" s="1">
        <f>VLOOKUP(B916,'NOVACART DATA'!$B$2:$N$1001,13,FALSE)</f>
        <v>0</v>
      </c>
    </row>
    <row r="917" spans="1:10">
      <c r="A917" s="2">
        <f>VLOOKUP(B917,CHOOSE({1,2},'NOVACART DATA'!$B$2:$B$1001,'NOVACART DATA'!$A$2:$A$1001),2,FALSE)</f>
        <v>45949</v>
      </c>
      <c r="B917" s="1">
        <v>1034</v>
      </c>
      <c r="C917" s="1">
        <f>VLOOKUP(B917,'NOVACART DATA'!$B$2:$C$1000,2,FALSE)</f>
        <v>114</v>
      </c>
      <c r="D917" s="1">
        <v>1</v>
      </c>
      <c r="E917" s="1" t="str">
        <f>VLOOKUP(B917,'NOVACART DATA'!$B$2:$M$1001,5,FALSE)</f>
        <v>Organic</v>
      </c>
      <c r="F917" s="1">
        <v>1</v>
      </c>
      <c r="G917" s="1">
        <v>47.45</v>
      </c>
      <c r="H917" s="1">
        <v>0</v>
      </c>
      <c r="I917" s="17">
        <f t="shared" si="14"/>
        <v>47.45</v>
      </c>
      <c r="J917" s="1">
        <f>VLOOKUP(B917,'NOVACART DATA'!$B$2:$N$1001,13,FALSE)</f>
        <v>0</v>
      </c>
    </row>
    <row r="918" spans="1:10">
      <c r="A918" s="2">
        <f>VLOOKUP(B918,CHOOSE({1,2},'NOVACART DATA'!$B$2:$B$1001,'NOVACART DATA'!$A$2:$A$1001),2,FALSE)</f>
        <v>45990</v>
      </c>
      <c r="B918" s="1">
        <v>1197</v>
      </c>
      <c r="C918" s="1">
        <f>VLOOKUP(B918,'NOVACART DATA'!$B$2:$C$1000,2,FALSE)</f>
        <v>114</v>
      </c>
      <c r="D918" s="1">
        <v>31</v>
      </c>
      <c r="E918" s="1" t="str">
        <f>VLOOKUP(B918,'NOVACART DATA'!$B$2:$M$1001,5,FALSE)</f>
        <v>Paid Search</v>
      </c>
      <c r="F918" s="1">
        <v>3</v>
      </c>
      <c r="G918" s="1">
        <v>57.51</v>
      </c>
      <c r="H918" s="1">
        <v>25</v>
      </c>
      <c r="I918" s="17">
        <f t="shared" si="14"/>
        <v>129.39750000000001</v>
      </c>
      <c r="J918" s="1">
        <f>VLOOKUP(B918,'NOVACART DATA'!$B$2:$N$1001,13,FALSE)</f>
        <v>0</v>
      </c>
    </row>
    <row r="919" spans="1:10">
      <c r="A919" s="2">
        <f>VLOOKUP(B919,CHOOSE({1,2},'NOVACART DATA'!$B$2:$B$1001,'NOVACART DATA'!$A$2:$A$1001),2,FALSE)</f>
        <v>45947</v>
      </c>
      <c r="B919" s="1">
        <v>1021</v>
      </c>
      <c r="C919" s="1">
        <f>VLOOKUP(B919,'NOVACART DATA'!$B$2:$C$1000,2,FALSE)</f>
        <v>115</v>
      </c>
      <c r="D919" s="1">
        <v>15</v>
      </c>
      <c r="E919" s="1" t="str">
        <f>VLOOKUP(B919,'NOVACART DATA'!$B$2:$M$1001,5,FALSE)</f>
        <v>Email</v>
      </c>
      <c r="F919" s="1">
        <v>1</v>
      </c>
      <c r="G919" s="1">
        <v>47.71</v>
      </c>
      <c r="H919" s="1">
        <v>0</v>
      </c>
      <c r="I919" s="17">
        <f t="shared" si="14"/>
        <v>47.71</v>
      </c>
      <c r="J919" s="1">
        <f>VLOOKUP(B919,'NOVACART DATA'!$B$2:$N$1001,13,FALSE)</f>
        <v>0</v>
      </c>
    </row>
    <row r="920" spans="1:10">
      <c r="A920" s="2">
        <f>VLOOKUP(B920,CHOOSE({1,2},'NOVACART DATA'!$B$2:$B$1001,'NOVACART DATA'!$A$2:$A$1001),2,FALSE)</f>
        <v>45727</v>
      </c>
      <c r="B920" s="1">
        <v>1076</v>
      </c>
      <c r="C920" s="1">
        <f>VLOOKUP(B920,'NOVACART DATA'!$B$2:$C$1000,2,FALSE)</f>
        <v>115</v>
      </c>
      <c r="D920" s="1">
        <v>35</v>
      </c>
      <c r="E920" s="1" t="str">
        <f>VLOOKUP(B920,'NOVACART DATA'!$B$2:$M$1001,5,FALSE)</f>
        <v>Email</v>
      </c>
      <c r="F920" s="1">
        <v>1</v>
      </c>
      <c r="G920" s="1">
        <v>11.3</v>
      </c>
      <c r="H920" s="1">
        <v>0</v>
      </c>
      <c r="I920" s="17">
        <f t="shared" si="14"/>
        <v>11.3</v>
      </c>
      <c r="J920" s="1">
        <f>VLOOKUP(B920,'NOVACART DATA'!$B$2:$N$1001,13,FALSE)</f>
        <v>0</v>
      </c>
    </row>
    <row r="921" spans="1:10">
      <c r="A921" s="2">
        <f>VLOOKUP(B921,CHOOSE({1,2},'NOVACART DATA'!$B$2:$B$1001,'NOVACART DATA'!$A$2:$A$1001),2,FALSE)</f>
        <v>45669</v>
      </c>
      <c r="B921" s="1">
        <v>1212</v>
      </c>
      <c r="C921" s="1">
        <f>VLOOKUP(B921,'NOVACART DATA'!$B$2:$C$1000,2,FALSE)</f>
        <v>115</v>
      </c>
      <c r="D921" s="1">
        <v>1</v>
      </c>
      <c r="E921" s="1" t="str">
        <f>VLOOKUP(B921,'NOVACART DATA'!$B$2:$M$1001,5,FALSE)</f>
        <v>Email</v>
      </c>
      <c r="F921" s="1">
        <v>2</v>
      </c>
      <c r="G921" s="1">
        <v>47.45</v>
      </c>
      <c r="H921" s="1">
        <v>20</v>
      </c>
      <c r="I921" s="17">
        <f t="shared" si="14"/>
        <v>75.92</v>
      </c>
      <c r="J921" s="1">
        <f>VLOOKUP(B921,'NOVACART DATA'!$B$2:$N$1001,13,FALSE)</f>
        <v>0</v>
      </c>
    </row>
    <row r="922" spans="1:10">
      <c r="A922" s="2">
        <f>VLOOKUP(B922,CHOOSE({1,2},'NOVACART DATA'!$B$2:$B$1001,'NOVACART DATA'!$A$2:$A$1001),2,FALSE)</f>
        <v>45997</v>
      </c>
      <c r="B922" s="1">
        <v>1230</v>
      </c>
      <c r="C922" s="1">
        <f>VLOOKUP(B922,'NOVACART DATA'!$B$2:$C$1000,2,FALSE)</f>
        <v>115</v>
      </c>
      <c r="D922" s="1">
        <v>27</v>
      </c>
      <c r="E922" s="1" t="str">
        <f>VLOOKUP(B922,'NOVACART DATA'!$B$2:$M$1001,5,FALSE)</f>
        <v>Email</v>
      </c>
      <c r="F922" s="1">
        <v>1</v>
      </c>
      <c r="G922" s="1">
        <v>27.3</v>
      </c>
      <c r="H922" s="1">
        <v>15</v>
      </c>
      <c r="I922" s="17">
        <f t="shared" si="14"/>
        <v>23.204999999999998</v>
      </c>
      <c r="J922" s="1">
        <f>VLOOKUP(B922,'NOVACART DATA'!$B$2:$N$1001,13,FALSE)</f>
        <v>0</v>
      </c>
    </row>
    <row r="923" spans="1:10">
      <c r="A923" s="2">
        <f>VLOOKUP(B923,CHOOSE({1,2},'NOVACART DATA'!$B$2:$B$1001,'NOVACART DATA'!$A$2:$A$1001),2,FALSE)</f>
        <v>46077</v>
      </c>
      <c r="B923" s="1">
        <v>1528</v>
      </c>
      <c r="C923" s="1">
        <f>VLOOKUP(B923,'NOVACART DATA'!$B$2:$C$1000,2,FALSE)</f>
        <v>115</v>
      </c>
      <c r="D923" s="1">
        <v>39</v>
      </c>
      <c r="E923" s="1" t="str">
        <f>VLOOKUP(B923,'NOVACART DATA'!$B$2:$M$1001,5,FALSE)</f>
        <v>Email</v>
      </c>
      <c r="F923" s="1">
        <v>2</v>
      </c>
      <c r="G923" s="1">
        <v>39.979999999999997</v>
      </c>
      <c r="H923" s="1">
        <v>0</v>
      </c>
      <c r="I923" s="17">
        <f t="shared" si="14"/>
        <v>79.959999999999994</v>
      </c>
      <c r="J923" s="1">
        <f>VLOOKUP(B923,'NOVACART DATA'!$B$2:$N$1001,13,FALSE)</f>
        <v>0</v>
      </c>
    </row>
    <row r="924" spans="1:10">
      <c r="A924" s="2">
        <f>VLOOKUP(B924,CHOOSE({1,2},'NOVACART DATA'!$B$2:$B$1001,'NOVACART DATA'!$A$2:$A$1001),2,FALSE)</f>
        <v>45941</v>
      </c>
      <c r="B924" s="1">
        <v>1107</v>
      </c>
      <c r="C924" s="1">
        <f>VLOOKUP(B924,'NOVACART DATA'!$B$2:$C$1000,2,FALSE)</f>
        <v>116</v>
      </c>
      <c r="D924" s="1">
        <v>7</v>
      </c>
      <c r="E924" s="1" t="str">
        <f>VLOOKUP(B924,'NOVACART DATA'!$B$2:$M$1001,5,FALSE)</f>
        <v>Paid Search</v>
      </c>
      <c r="F924" s="1">
        <v>1</v>
      </c>
      <c r="G924" s="1">
        <v>79.39</v>
      </c>
      <c r="H924" s="1">
        <v>10</v>
      </c>
      <c r="I924" s="17">
        <f t="shared" si="14"/>
        <v>71.451000000000008</v>
      </c>
      <c r="J924" s="1">
        <f>VLOOKUP(B924,'NOVACART DATA'!$B$2:$N$1001,13,FALSE)</f>
        <v>0</v>
      </c>
    </row>
    <row r="925" spans="1:10">
      <c r="A925" s="2">
        <f>VLOOKUP(B925,CHOOSE({1,2},'NOVACART DATA'!$B$2:$B$1001,'NOVACART DATA'!$A$2:$A$1001),2,FALSE)</f>
        <v>45941</v>
      </c>
      <c r="B925" s="1">
        <v>1107</v>
      </c>
      <c r="C925" s="1">
        <f>VLOOKUP(B925,'NOVACART DATA'!$B$2:$C$1000,2,FALSE)</f>
        <v>116</v>
      </c>
      <c r="D925" s="1">
        <v>24</v>
      </c>
      <c r="E925" s="1" t="str">
        <f>VLOOKUP(B925,'NOVACART DATA'!$B$2:$M$1001,5,FALSE)</f>
        <v>Paid Search</v>
      </c>
      <c r="F925" s="1">
        <v>2</v>
      </c>
      <c r="G925" s="1">
        <v>43.42</v>
      </c>
      <c r="H925" s="1">
        <v>10</v>
      </c>
      <c r="I925" s="17">
        <f t="shared" si="14"/>
        <v>78.156000000000006</v>
      </c>
      <c r="J925" s="1">
        <f>VLOOKUP(B925,'NOVACART DATA'!$B$2:$N$1001,13,FALSE)</f>
        <v>0</v>
      </c>
    </row>
    <row r="926" spans="1:10">
      <c r="A926" s="2">
        <f>VLOOKUP(B926,CHOOSE({1,2},'NOVACART DATA'!$B$2:$B$1001,'NOVACART DATA'!$A$2:$A$1001),2,FALSE)</f>
        <v>45978</v>
      </c>
      <c r="B926" s="1">
        <v>1142</v>
      </c>
      <c r="C926" s="1">
        <f>VLOOKUP(B926,'NOVACART DATA'!$B$2:$C$1000,2,FALSE)</f>
        <v>116</v>
      </c>
      <c r="D926" s="1">
        <v>36</v>
      </c>
      <c r="E926" s="1" t="str">
        <f>VLOOKUP(B926,'NOVACART DATA'!$B$2:$M$1001,5,FALSE)</f>
        <v>Paid Search</v>
      </c>
      <c r="F926" s="1">
        <v>1</v>
      </c>
      <c r="G926" s="1">
        <v>23.23</v>
      </c>
      <c r="H926" s="1">
        <v>0</v>
      </c>
      <c r="I926" s="17">
        <f t="shared" si="14"/>
        <v>23.23</v>
      </c>
      <c r="J926" s="1">
        <f>VLOOKUP(B926,'NOVACART DATA'!$B$2:$N$1001,13,FALSE)</f>
        <v>0</v>
      </c>
    </row>
    <row r="927" spans="1:10">
      <c r="A927" s="2">
        <f>VLOOKUP(B927,CHOOSE({1,2},'NOVACART DATA'!$B$2:$B$1001,'NOVACART DATA'!$A$2:$A$1001),2,FALSE)</f>
        <v>45983</v>
      </c>
      <c r="B927" s="1">
        <v>1165</v>
      </c>
      <c r="C927" s="1">
        <f>VLOOKUP(B927,'NOVACART DATA'!$B$2:$C$1000,2,FALSE)</f>
        <v>116</v>
      </c>
      <c r="D927" s="1">
        <v>38</v>
      </c>
      <c r="E927" s="1" t="str">
        <f>VLOOKUP(B927,'NOVACART DATA'!$B$2:$M$1001,5,FALSE)</f>
        <v>Paid Search</v>
      </c>
      <c r="F927" s="1">
        <v>1</v>
      </c>
      <c r="G927" s="1">
        <v>25.14</v>
      </c>
      <c r="H927" s="1">
        <v>0</v>
      </c>
      <c r="I927" s="17">
        <f t="shared" si="14"/>
        <v>25.14</v>
      </c>
      <c r="J927" s="1">
        <f>VLOOKUP(B927,'NOVACART DATA'!$B$2:$N$1001,13,FALSE)</f>
        <v>0</v>
      </c>
    </row>
    <row r="928" spans="1:10">
      <c r="A928" s="2">
        <f>VLOOKUP(B928,CHOOSE({1,2},'NOVACART DATA'!$B$2:$B$1001,'NOVACART DATA'!$A$2:$A$1001),2,FALSE)</f>
        <v>45789</v>
      </c>
      <c r="B928" s="1">
        <v>1228</v>
      </c>
      <c r="C928" s="1">
        <f>VLOOKUP(B928,'NOVACART DATA'!$B$2:$C$1000,2,FALSE)</f>
        <v>116</v>
      </c>
      <c r="D928" s="1">
        <v>40</v>
      </c>
      <c r="E928" s="1" t="str">
        <f>VLOOKUP(B928,'NOVACART DATA'!$B$2:$M$1001,5,FALSE)</f>
        <v>Paid Search</v>
      </c>
      <c r="F928" s="1">
        <v>3</v>
      </c>
      <c r="G928" s="1">
        <v>47.25</v>
      </c>
      <c r="H928" s="1">
        <v>10</v>
      </c>
      <c r="I928" s="17">
        <f t="shared" si="14"/>
        <v>127.575</v>
      </c>
      <c r="J928" s="1">
        <f>VLOOKUP(B928,'NOVACART DATA'!$B$2:$N$1001,13,FALSE)</f>
        <v>0</v>
      </c>
    </row>
    <row r="929" spans="1:10">
      <c r="A929" s="2">
        <f>VLOOKUP(B929,CHOOSE({1,2},'NOVACART DATA'!$B$2:$B$1001,'NOVACART DATA'!$A$2:$A$1001),2,FALSE)</f>
        <v>45789</v>
      </c>
      <c r="B929" s="1">
        <v>1228</v>
      </c>
      <c r="C929" s="1">
        <f>VLOOKUP(B929,'NOVACART DATA'!$B$2:$C$1000,2,FALSE)</f>
        <v>116</v>
      </c>
      <c r="D929" s="1">
        <v>13</v>
      </c>
      <c r="E929" s="1" t="str">
        <f>VLOOKUP(B929,'NOVACART DATA'!$B$2:$M$1001,5,FALSE)</f>
        <v>Paid Search</v>
      </c>
      <c r="F929" s="1">
        <v>2</v>
      </c>
      <c r="G929" s="1">
        <v>54.9</v>
      </c>
      <c r="H929" s="1">
        <v>25</v>
      </c>
      <c r="I929" s="17">
        <f t="shared" si="14"/>
        <v>82.35</v>
      </c>
      <c r="J929" s="1">
        <f>VLOOKUP(B929,'NOVACART DATA'!$B$2:$N$1001,13,FALSE)</f>
        <v>0</v>
      </c>
    </row>
    <row r="930" spans="1:10">
      <c r="A930" s="2">
        <f>VLOOKUP(B930,CHOOSE({1,2},'NOVACART DATA'!$B$2:$B$1001,'NOVACART DATA'!$A$2:$A$1001),2,FALSE)</f>
        <v>45850</v>
      </c>
      <c r="B930" s="1">
        <v>1237</v>
      </c>
      <c r="C930" s="1">
        <f>VLOOKUP(B930,'NOVACART DATA'!$B$2:$C$1000,2,FALSE)</f>
        <v>116</v>
      </c>
      <c r="D930" s="1">
        <v>36</v>
      </c>
      <c r="E930" s="1" t="str">
        <f>VLOOKUP(B930,'NOVACART DATA'!$B$2:$M$1001,5,FALSE)</f>
        <v>Paid Search</v>
      </c>
      <c r="F930" s="1">
        <v>1</v>
      </c>
      <c r="G930" s="1">
        <v>23.23</v>
      </c>
      <c r="H930" s="1">
        <v>10</v>
      </c>
      <c r="I930" s="17">
        <f t="shared" si="14"/>
        <v>20.907</v>
      </c>
      <c r="J930" s="1">
        <f>VLOOKUP(B930,'NOVACART DATA'!$B$2:$N$1001,13,FALSE)</f>
        <v>0</v>
      </c>
    </row>
    <row r="931" spans="1:10">
      <c r="A931" s="2">
        <f>VLOOKUP(B931,CHOOSE({1,2},'NOVACART DATA'!$B$2:$B$1001,'NOVACART DATA'!$A$2:$A$1001),2,FALSE)</f>
        <v>45850</v>
      </c>
      <c r="B931" s="1">
        <v>1237</v>
      </c>
      <c r="C931" s="1">
        <f>VLOOKUP(B931,'NOVACART DATA'!$B$2:$C$1000,2,FALSE)</f>
        <v>116</v>
      </c>
      <c r="D931" s="1">
        <v>14</v>
      </c>
      <c r="E931" s="1" t="str">
        <f>VLOOKUP(B931,'NOVACART DATA'!$B$2:$M$1001,5,FALSE)</f>
        <v>Paid Search</v>
      </c>
      <c r="F931" s="1">
        <v>1</v>
      </c>
      <c r="G931" s="1">
        <v>15.36</v>
      </c>
      <c r="H931" s="1">
        <v>25</v>
      </c>
      <c r="I931" s="17">
        <f t="shared" si="14"/>
        <v>11.52</v>
      </c>
      <c r="J931" s="1">
        <f>VLOOKUP(B931,'NOVACART DATA'!$B$2:$N$1001,13,FALSE)</f>
        <v>0</v>
      </c>
    </row>
    <row r="932" spans="1:10">
      <c r="A932" s="2">
        <f>VLOOKUP(B932,CHOOSE({1,2},'NOVACART DATA'!$B$2:$B$1001,'NOVACART DATA'!$A$2:$A$1001),2,FALSE)</f>
        <v>45850</v>
      </c>
      <c r="B932" s="1">
        <v>1237</v>
      </c>
      <c r="C932" s="1">
        <f>VLOOKUP(B932,'NOVACART DATA'!$B$2:$C$1000,2,FALSE)</f>
        <v>116</v>
      </c>
      <c r="D932" s="1">
        <v>36</v>
      </c>
      <c r="E932" s="1" t="str">
        <f>VLOOKUP(B932,'NOVACART DATA'!$B$2:$M$1001,5,FALSE)</f>
        <v>Paid Search</v>
      </c>
      <c r="F932" s="1">
        <v>1</v>
      </c>
      <c r="G932" s="1">
        <v>23.23</v>
      </c>
      <c r="H932" s="1">
        <v>20</v>
      </c>
      <c r="I932" s="17">
        <f t="shared" si="14"/>
        <v>18.584</v>
      </c>
      <c r="J932" s="1">
        <f>VLOOKUP(B932,'NOVACART DATA'!$B$2:$N$1001,13,FALSE)</f>
        <v>0</v>
      </c>
    </row>
    <row r="933" spans="1:10">
      <c r="A933" s="2">
        <f>VLOOKUP(B933,CHOOSE({1,2},'NOVACART DATA'!$B$2:$B$1001,'NOVACART DATA'!$A$2:$A$1001),2,FALSE)</f>
        <v>45850</v>
      </c>
      <c r="B933" s="1">
        <v>1237</v>
      </c>
      <c r="C933" s="1">
        <f>VLOOKUP(B933,'NOVACART DATA'!$B$2:$C$1000,2,FALSE)</f>
        <v>116</v>
      </c>
      <c r="D933" s="1">
        <v>13</v>
      </c>
      <c r="E933" s="1" t="str">
        <f>VLOOKUP(B933,'NOVACART DATA'!$B$2:$M$1001,5,FALSE)</f>
        <v>Paid Search</v>
      </c>
      <c r="F933" s="1">
        <v>1</v>
      </c>
      <c r="G933" s="1">
        <v>54.9</v>
      </c>
      <c r="H933" s="1">
        <v>20</v>
      </c>
      <c r="I933" s="17">
        <f t="shared" si="14"/>
        <v>43.92</v>
      </c>
      <c r="J933" s="1">
        <f>VLOOKUP(B933,'NOVACART DATA'!$B$2:$N$1001,13,FALSE)</f>
        <v>0</v>
      </c>
    </row>
    <row r="934" spans="1:10">
      <c r="A934" s="2">
        <f>VLOOKUP(B934,CHOOSE({1,2},'NOVACART DATA'!$B$2:$B$1001,'NOVACART DATA'!$A$2:$A$1001),2,FALSE)</f>
        <v>45973</v>
      </c>
      <c r="B934" s="1">
        <v>1260</v>
      </c>
      <c r="C934" s="1">
        <f>VLOOKUP(B934,'NOVACART DATA'!$B$2:$C$1000,2,FALSE)</f>
        <v>116</v>
      </c>
      <c r="D934" s="1">
        <v>39</v>
      </c>
      <c r="E934" s="1" t="str">
        <f>VLOOKUP(B934,'NOVACART DATA'!$B$2:$M$1001,5,FALSE)</f>
        <v>Paid Search</v>
      </c>
      <c r="F934" s="1">
        <v>1</v>
      </c>
      <c r="G934" s="1">
        <v>39.979999999999997</v>
      </c>
      <c r="H934" s="1">
        <v>0</v>
      </c>
      <c r="I934" s="17">
        <f t="shared" si="14"/>
        <v>39.979999999999997</v>
      </c>
      <c r="J934" s="1">
        <f>VLOOKUP(B934,'NOVACART DATA'!$B$2:$N$1001,13,FALSE)</f>
        <v>0</v>
      </c>
    </row>
    <row r="935" spans="1:10">
      <c r="A935" s="2">
        <f>VLOOKUP(B935,CHOOSE({1,2},'NOVACART DATA'!$B$2:$B$1001,'NOVACART DATA'!$A$2:$A$1001),2,FALSE)</f>
        <v>46017</v>
      </c>
      <c r="B935" s="1">
        <v>1334</v>
      </c>
      <c r="C935" s="1">
        <f>VLOOKUP(B935,'NOVACART DATA'!$B$2:$C$1000,2,FALSE)</f>
        <v>116</v>
      </c>
      <c r="D935" s="1">
        <v>38</v>
      </c>
      <c r="E935" s="1" t="str">
        <f>VLOOKUP(B935,'NOVACART DATA'!$B$2:$M$1001,5,FALSE)</f>
        <v>Paid Search</v>
      </c>
      <c r="F935" s="1">
        <v>3</v>
      </c>
      <c r="G935" s="1">
        <v>25.14</v>
      </c>
      <c r="H935" s="1">
        <v>0</v>
      </c>
      <c r="I935" s="17">
        <f t="shared" si="14"/>
        <v>75.42</v>
      </c>
      <c r="J935" s="1">
        <f>VLOOKUP(B935,'NOVACART DATA'!$B$2:$N$1001,13,FALSE)</f>
        <v>0</v>
      </c>
    </row>
    <row r="936" spans="1:10">
      <c r="A936" s="2">
        <f>VLOOKUP(B936,CHOOSE({1,2},'NOVACART DATA'!$B$2:$B$1001,'NOVACART DATA'!$A$2:$A$1001),2,FALSE)</f>
        <v>46017</v>
      </c>
      <c r="B936" s="1">
        <v>1334</v>
      </c>
      <c r="C936" s="1">
        <f>VLOOKUP(B936,'NOVACART DATA'!$B$2:$C$1000,2,FALSE)</f>
        <v>116</v>
      </c>
      <c r="D936" s="1">
        <v>3</v>
      </c>
      <c r="E936" s="1" t="str">
        <f>VLOOKUP(B936,'NOVACART DATA'!$B$2:$M$1001,5,FALSE)</f>
        <v>Paid Search</v>
      </c>
      <c r="F936" s="1">
        <v>1</v>
      </c>
      <c r="G936" s="1">
        <v>25.47</v>
      </c>
      <c r="H936" s="1">
        <v>0</v>
      </c>
      <c r="I936" s="17">
        <f t="shared" si="14"/>
        <v>25.47</v>
      </c>
      <c r="J936" s="1">
        <f>VLOOKUP(B936,'NOVACART DATA'!$B$2:$N$1001,13,FALSE)</f>
        <v>0</v>
      </c>
    </row>
    <row r="937" spans="1:10">
      <c r="A937" s="2">
        <f>VLOOKUP(B937,CHOOSE({1,2},'NOVACART DATA'!$B$2:$B$1001,'NOVACART DATA'!$A$2:$A$1001),2,FALSE)</f>
        <v>46017</v>
      </c>
      <c r="B937" s="1">
        <v>1334</v>
      </c>
      <c r="C937" s="1">
        <f>VLOOKUP(B937,'NOVACART DATA'!$B$2:$C$1000,2,FALSE)</f>
        <v>116</v>
      </c>
      <c r="D937" s="1">
        <v>23</v>
      </c>
      <c r="E937" s="1" t="str">
        <f>VLOOKUP(B937,'NOVACART DATA'!$B$2:$M$1001,5,FALSE)</f>
        <v>Paid Search</v>
      </c>
      <c r="F937" s="1">
        <v>1</v>
      </c>
      <c r="G937" s="1">
        <v>38.14</v>
      </c>
      <c r="H937" s="1">
        <v>10</v>
      </c>
      <c r="I937" s="17">
        <f t="shared" si="14"/>
        <v>34.326000000000001</v>
      </c>
      <c r="J937" s="1">
        <f>VLOOKUP(B937,'NOVACART DATA'!$B$2:$N$1001,13,FALSE)</f>
        <v>0</v>
      </c>
    </row>
    <row r="938" spans="1:10">
      <c r="A938" s="2">
        <f>VLOOKUP(B938,CHOOSE({1,2},'NOVACART DATA'!$B$2:$B$1001,'NOVACART DATA'!$A$2:$A$1001),2,FALSE)</f>
        <v>45985</v>
      </c>
      <c r="B938" s="1">
        <v>1044</v>
      </c>
      <c r="C938" s="1">
        <f>VLOOKUP(B938,'NOVACART DATA'!$B$2:$C$1000,2,FALSE)</f>
        <v>5</v>
      </c>
      <c r="D938" s="1">
        <v>14</v>
      </c>
      <c r="E938" s="1" t="str">
        <f>VLOOKUP(B938,'NOVACART DATA'!$B$2:$M$1001,5,FALSE)</f>
        <v>Email</v>
      </c>
      <c r="F938" s="1">
        <v>1</v>
      </c>
      <c r="G938" s="1">
        <v>15.36</v>
      </c>
      <c r="H938" s="1">
        <v>25</v>
      </c>
      <c r="I938" s="17">
        <f t="shared" si="14"/>
        <v>11.52</v>
      </c>
      <c r="J938" s="1">
        <f>VLOOKUP(B938,'NOVACART DATA'!$B$2:$N$1001,13,FALSE)</f>
        <v>0</v>
      </c>
    </row>
    <row r="939" spans="1:10">
      <c r="A939" s="2">
        <f>VLOOKUP(B939,CHOOSE({1,2},'NOVACART DATA'!$B$2:$B$1001,'NOVACART DATA'!$A$2:$A$1001),2,FALSE)</f>
        <v>46328</v>
      </c>
      <c r="B939" s="1">
        <v>1477</v>
      </c>
      <c r="C939" s="1">
        <f>VLOOKUP(B939,'NOVACART DATA'!$B$2:$C$1000,2,FALSE)</f>
        <v>116</v>
      </c>
      <c r="D939" s="1">
        <v>28</v>
      </c>
      <c r="E939" s="1" t="str">
        <f>VLOOKUP(B939,'NOVACART DATA'!$B$2:$M$1001,5,FALSE)</f>
        <v>Paid Search</v>
      </c>
      <c r="F939" s="1">
        <v>1</v>
      </c>
      <c r="G939" s="1">
        <v>21.24</v>
      </c>
      <c r="H939" s="1">
        <v>15</v>
      </c>
      <c r="I939" s="17">
        <f t="shared" si="14"/>
        <v>18.053999999999998</v>
      </c>
      <c r="J939" s="1">
        <f>VLOOKUP(B939,'NOVACART DATA'!$B$2:$N$1001,13,FALSE)</f>
        <v>0</v>
      </c>
    </row>
    <row r="940" spans="1:10">
      <c r="A940" s="2">
        <f>VLOOKUP(B940,CHOOSE({1,2},'NOVACART DATA'!$B$2:$B$1001,'NOVACART DATA'!$A$2:$A$1001),2,FALSE)</f>
        <v>46328</v>
      </c>
      <c r="B940" s="1">
        <v>1477</v>
      </c>
      <c r="C940" s="1">
        <f>VLOOKUP(B940,'NOVACART DATA'!$B$2:$C$1000,2,FALSE)</f>
        <v>116</v>
      </c>
      <c r="D940" s="1">
        <v>32</v>
      </c>
      <c r="E940" s="1" t="str">
        <f>VLOOKUP(B940,'NOVACART DATA'!$B$2:$M$1001,5,FALSE)</f>
        <v>Paid Search</v>
      </c>
      <c r="F940" s="1">
        <v>1</v>
      </c>
      <c r="G940" s="1">
        <v>61.06</v>
      </c>
      <c r="H940" s="1">
        <v>15</v>
      </c>
      <c r="I940" s="17">
        <f t="shared" si="14"/>
        <v>51.901000000000003</v>
      </c>
      <c r="J940" s="1">
        <f>VLOOKUP(B940,'NOVACART DATA'!$B$2:$N$1001,13,FALSE)</f>
        <v>0</v>
      </c>
    </row>
    <row r="941" spans="1:10">
      <c r="A941" s="2">
        <f>VLOOKUP(B941,CHOOSE({1,2},'NOVACART DATA'!$B$2:$B$1001,'NOVACART DATA'!$A$2:$A$1001),2,FALSE)</f>
        <v>45978</v>
      </c>
      <c r="B941" s="1">
        <v>1143</v>
      </c>
      <c r="C941" s="1">
        <f>VLOOKUP(B941,'NOVACART DATA'!$B$2:$C$1000,2,FALSE)</f>
        <v>117</v>
      </c>
      <c r="D941" s="1">
        <v>32</v>
      </c>
      <c r="E941" s="1" t="str">
        <f>VLOOKUP(B941,'NOVACART DATA'!$B$2:$M$1001,5,FALSE)</f>
        <v>Social</v>
      </c>
      <c r="F941" s="1">
        <v>3</v>
      </c>
      <c r="G941" s="1">
        <v>61.06</v>
      </c>
      <c r="H941" s="1">
        <v>0</v>
      </c>
      <c r="I941" s="17">
        <f t="shared" si="14"/>
        <v>183.18</v>
      </c>
      <c r="J941" s="1">
        <f>VLOOKUP(B941,'NOVACART DATA'!$B$2:$N$1001,13,FALSE)</f>
        <v>0</v>
      </c>
    </row>
    <row r="942" spans="1:10">
      <c r="A942" s="2">
        <f>VLOOKUP(B942,CHOOSE({1,2},'NOVACART DATA'!$B$2:$B$1001,'NOVACART DATA'!$A$2:$A$1001),2,FALSE)</f>
        <v>45978</v>
      </c>
      <c r="B942" s="1">
        <v>1143</v>
      </c>
      <c r="C942" s="1">
        <f>VLOOKUP(B942,'NOVACART DATA'!$B$2:$C$1000,2,FALSE)</f>
        <v>117</v>
      </c>
      <c r="D942" s="1">
        <v>21</v>
      </c>
      <c r="E942" s="1" t="str">
        <f>VLOOKUP(B942,'NOVACART DATA'!$B$2:$M$1001,5,FALSE)</f>
        <v>Social</v>
      </c>
      <c r="F942" s="1">
        <v>1</v>
      </c>
      <c r="G942" s="1">
        <v>38.869999999999997</v>
      </c>
      <c r="H942" s="1">
        <v>0</v>
      </c>
      <c r="I942" s="17">
        <f t="shared" si="14"/>
        <v>38.869999999999997</v>
      </c>
      <c r="J942" s="1">
        <f>VLOOKUP(B942,'NOVACART DATA'!$B$2:$N$1001,13,FALSE)</f>
        <v>0</v>
      </c>
    </row>
    <row r="943" spans="1:10">
      <c r="A943" s="2">
        <f>VLOOKUP(B943,CHOOSE({1,2},'NOVACART DATA'!$B$2:$B$1001,'NOVACART DATA'!$A$2:$A$1001),2,FALSE)</f>
        <v>46005</v>
      </c>
      <c r="B943" s="1">
        <v>1279</v>
      </c>
      <c r="C943" s="1">
        <f>VLOOKUP(B943,'NOVACART DATA'!$B$2:$C$1000,2,FALSE)</f>
        <v>117</v>
      </c>
      <c r="D943" s="1">
        <v>30</v>
      </c>
      <c r="E943" s="1" t="str">
        <f>VLOOKUP(B943,'NOVACART DATA'!$B$2:$M$1001,5,FALSE)</f>
        <v>Social</v>
      </c>
      <c r="F943" s="1">
        <v>1</v>
      </c>
      <c r="G943" s="1">
        <v>41.49</v>
      </c>
      <c r="H943" s="1">
        <v>0</v>
      </c>
      <c r="I943" s="17">
        <f t="shared" si="14"/>
        <v>41.49</v>
      </c>
      <c r="J943" s="1">
        <f>VLOOKUP(B943,'NOVACART DATA'!$B$2:$N$1001,13,FALSE)</f>
        <v>0</v>
      </c>
    </row>
    <row r="944" spans="1:10">
      <c r="A944" s="2">
        <f>VLOOKUP(B944,CHOOSE({1,2},'NOVACART DATA'!$B$2:$B$1001,'NOVACART DATA'!$A$2:$A$1001),2,FALSE)</f>
        <v>46078</v>
      </c>
      <c r="B944" s="1">
        <v>1529</v>
      </c>
      <c r="C944" s="1">
        <f>VLOOKUP(B944,'NOVACART DATA'!$B$2:$C$1000,2,FALSE)</f>
        <v>117</v>
      </c>
      <c r="D944" s="1">
        <v>37</v>
      </c>
      <c r="E944" s="1" t="str">
        <f>VLOOKUP(B944,'NOVACART DATA'!$B$2:$M$1001,5,FALSE)</f>
        <v>Social</v>
      </c>
      <c r="F944" s="1">
        <v>2</v>
      </c>
      <c r="G944" s="1">
        <v>52.67</v>
      </c>
      <c r="H944" s="1">
        <v>0</v>
      </c>
      <c r="I944" s="17">
        <f t="shared" si="14"/>
        <v>105.34</v>
      </c>
      <c r="J944" s="1">
        <f>VLOOKUP(B944,'NOVACART DATA'!$B$2:$N$1001,13,FALSE)</f>
        <v>0</v>
      </c>
    </row>
    <row r="945" spans="1:10">
      <c r="A945" s="2">
        <f>VLOOKUP(B945,CHOOSE({1,2},'NOVACART DATA'!$B$2:$B$1001,'NOVACART DATA'!$A$2:$A$1001),2,FALSE)</f>
        <v>46078</v>
      </c>
      <c r="B945" s="1">
        <v>1529</v>
      </c>
      <c r="C945" s="1">
        <f>VLOOKUP(B945,'NOVACART DATA'!$B$2:$C$1000,2,FALSE)</f>
        <v>117</v>
      </c>
      <c r="D945" s="1">
        <v>33</v>
      </c>
      <c r="E945" s="1" t="str">
        <f>VLOOKUP(B945,'NOVACART DATA'!$B$2:$M$1001,5,FALSE)</f>
        <v>Social</v>
      </c>
      <c r="F945" s="1">
        <v>1</v>
      </c>
      <c r="G945" s="1">
        <v>40.94</v>
      </c>
      <c r="H945" s="1">
        <v>0</v>
      </c>
      <c r="I945" s="17">
        <f t="shared" si="14"/>
        <v>40.94</v>
      </c>
      <c r="J945" s="1">
        <f>VLOOKUP(B945,'NOVACART DATA'!$B$2:$N$1001,13,FALSE)</f>
        <v>0</v>
      </c>
    </row>
    <row r="946" spans="1:10">
      <c r="A946" s="2">
        <f>VLOOKUP(B946,CHOOSE({1,2},'NOVACART DATA'!$B$2:$B$1001,'NOVACART DATA'!$A$2:$A$1001),2,FALSE)</f>
        <v>46078</v>
      </c>
      <c r="B946" s="1">
        <v>1529</v>
      </c>
      <c r="C946" s="1">
        <f>VLOOKUP(B946,'NOVACART DATA'!$B$2:$C$1000,2,FALSE)</f>
        <v>117</v>
      </c>
      <c r="D946" s="1">
        <v>30</v>
      </c>
      <c r="E946" s="1" t="str">
        <f>VLOOKUP(B946,'NOVACART DATA'!$B$2:$M$1001,5,FALSE)</f>
        <v>Social</v>
      </c>
      <c r="F946" s="1">
        <v>1</v>
      </c>
      <c r="G946" s="1">
        <v>41.49</v>
      </c>
      <c r="H946" s="1">
        <v>0</v>
      </c>
      <c r="I946" s="17">
        <f t="shared" si="14"/>
        <v>41.49</v>
      </c>
      <c r="J946" s="1">
        <f>VLOOKUP(B946,'NOVACART DATA'!$B$2:$N$1001,13,FALSE)</f>
        <v>0</v>
      </c>
    </row>
    <row r="947" spans="1:10">
      <c r="A947" s="2">
        <f>VLOOKUP(B947,CHOOSE({1,2},'NOVACART DATA'!$B$2:$B$1001,'NOVACART DATA'!$A$2:$A$1001),2,FALSE)</f>
        <v>45956</v>
      </c>
      <c r="B947" s="1">
        <v>1050</v>
      </c>
      <c r="C947" s="1">
        <f>VLOOKUP(B947,'NOVACART DATA'!$B$2:$C$1000,2,FALSE)</f>
        <v>118</v>
      </c>
      <c r="D947" s="1">
        <v>26</v>
      </c>
      <c r="E947" s="1" t="str">
        <f>VLOOKUP(B947,'NOVACART DATA'!$B$2:$M$1001,5,FALSE)</f>
        <v>Social</v>
      </c>
      <c r="F947" s="1">
        <v>3</v>
      </c>
      <c r="G947" s="1">
        <v>31.76</v>
      </c>
      <c r="H947" s="1">
        <v>25</v>
      </c>
      <c r="I947" s="17">
        <f t="shared" si="14"/>
        <v>71.460000000000008</v>
      </c>
      <c r="J947" s="1">
        <f>VLOOKUP(B947,'NOVACART DATA'!$B$2:$N$1001,13,FALSE)</f>
        <v>0</v>
      </c>
    </row>
    <row r="948" spans="1:10">
      <c r="A948" s="2">
        <f>VLOOKUP(B948,CHOOSE({1,2},'NOVACART DATA'!$B$2:$B$1001,'NOVACART DATA'!$A$2:$A$1001),2,FALSE)</f>
        <v>45820</v>
      </c>
      <c r="B948" s="1">
        <v>1231</v>
      </c>
      <c r="C948" s="1">
        <f>VLOOKUP(B948,'NOVACART DATA'!$B$2:$C$1000,2,FALSE)</f>
        <v>118</v>
      </c>
      <c r="D948" s="1">
        <v>36</v>
      </c>
      <c r="E948" s="1" t="str">
        <f>VLOOKUP(B948,'NOVACART DATA'!$B$2:$M$1001,5,FALSE)</f>
        <v>Social</v>
      </c>
      <c r="F948" s="1">
        <v>1</v>
      </c>
      <c r="G948" s="1">
        <v>23.23</v>
      </c>
      <c r="H948" s="1">
        <v>5.5</v>
      </c>
      <c r="I948" s="17">
        <f t="shared" si="14"/>
        <v>21.952349999999999</v>
      </c>
      <c r="J948" s="1">
        <f>VLOOKUP(B948,'NOVACART DATA'!$B$2:$N$1001,13,FALSE)</f>
        <v>0</v>
      </c>
    </row>
    <row r="949" spans="1:10">
      <c r="A949" s="2">
        <f>VLOOKUP(B949,CHOOSE({1,2},'NOVACART DATA'!$B$2:$B$1001,'NOVACART DATA'!$A$2:$A$1001),2,FALSE)</f>
        <v>46003</v>
      </c>
      <c r="B949" s="1">
        <v>1269</v>
      </c>
      <c r="C949" s="1">
        <f>VLOOKUP(B949,'NOVACART DATA'!$B$2:$C$1000,2,FALSE)</f>
        <v>118</v>
      </c>
      <c r="D949" s="1">
        <v>28</v>
      </c>
      <c r="E949" s="1" t="str">
        <f>VLOOKUP(B949,'NOVACART DATA'!$B$2:$M$1001,5,FALSE)</f>
        <v>Social</v>
      </c>
      <c r="F949" s="1">
        <v>1</v>
      </c>
      <c r="G949" s="1">
        <v>38.869999999999997</v>
      </c>
      <c r="H949" s="1">
        <v>0</v>
      </c>
      <c r="I949" s="17">
        <f t="shared" si="14"/>
        <v>38.869999999999997</v>
      </c>
      <c r="J949" s="1">
        <f>VLOOKUP(B949,'NOVACART DATA'!$B$2:$N$1001,13,FALSE)</f>
        <v>0</v>
      </c>
    </row>
    <row r="950" spans="1:10">
      <c r="A950" s="2">
        <f>VLOOKUP(B950,CHOOSE({1,2},'NOVACART DATA'!$B$2:$B$1001,'NOVACART DATA'!$A$2:$A$1001),2,FALSE)</f>
        <v>46018</v>
      </c>
      <c r="B950" s="1">
        <v>1341</v>
      </c>
      <c r="C950" s="1">
        <f>VLOOKUP(B950,'NOVACART DATA'!$B$2:$C$1000,2,FALSE)</f>
        <v>118</v>
      </c>
      <c r="D950" s="1">
        <v>19</v>
      </c>
      <c r="E950" s="1" t="str">
        <f>VLOOKUP(B950,'NOVACART DATA'!$B$2:$M$1001,5,FALSE)</f>
        <v>Social</v>
      </c>
      <c r="F950" s="1">
        <v>1</v>
      </c>
      <c r="G950" s="1">
        <v>50.14</v>
      </c>
      <c r="H950" s="1">
        <v>10</v>
      </c>
      <c r="I950" s="17">
        <f t="shared" si="14"/>
        <v>45.126000000000005</v>
      </c>
      <c r="J950" s="1">
        <f>VLOOKUP(B950,'NOVACART DATA'!$B$2:$N$1001,13,FALSE)</f>
        <v>0</v>
      </c>
    </row>
    <row r="951" spans="1:10">
      <c r="A951" s="2">
        <f>VLOOKUP(B951,CHOOSE({1,2},'NOVACART DATA'!$B$2:$B$1001,'NOVACART DATA'!$A$2:$A$1001),2,FALSE)</f>
        <v>46144</v>
      </c>
      <c r="B951" s="1">
        <v>1457</v>
      </c>
      <c r="C951" s="1">
        <f>VLOOKUP(B951,'NOVACART DATA'!$B$2:$C$1000,2,FALSE)</f>
        <v>118</v>
      </c>
      <c r="D951" s="1">
        <v>38</v>
      </c>
      <c r="E951" s="1" t="str">
        <f>VLOOKUP(B951,'NOVACART DATA'!$B$2:$M$1001,5,FALSE)</f>
        <v>Social</v>
      </c>
      <c r="F951" s="1">
        <v>1</v>
      </c>
      <c r="G951" s="1">
        <v>25.14</v>
      </c>
      <c r="H951" s="1">
        <v>10</v>
      </c>
      <c r="I951" s="17">
        <f t="shared" si="14"/>
        <v>22.626000000000001</v>
      </c>
      <c r="J951" s="1">
        <f>VLOOKUP(B951,'NOVACART DATA'!$B$2:$N$1001,13,FALSE)</f>
        <v>0</v>
      </c>
    </row>
    <row r="952" spans="1:10">
      <c r="A952" s="2">
        <f>VLOOKUP(B952,CHOOSE({1,2},'NOVACART DATA'!$B$2:$B$1001,'NOVACART DATA'!$A$2:$A$1001),2,FALSE)</f>
        <v>45669</v>
      </c>
      <c r="B952" s="1">
        <v>1213</v>
      </c>
      <c r="C952" s="1">
        <f>VLOOKUP(B952,'NOVACART DATA'!$B$2:$C$1000,2,FALSE)</f>
        <v>119</v>
      </c>
      <c r="D952" s="1">
        <v>20</v>
      </c>
      <c r="E952" s="1" t="str">
        <f>VLOOKUP(B952,'NOVACART DATA'!$B$2:$M$1001,5,FALSE)</f>
        <v>Paid Search</v>
      </c>
      <c r="F952" s="1">
        <v>3</v>
      </c>
      <c r="G952" s="1">
        <v>32.76</v>
      </c>
      <c r="H952" s="1">
        <v>0</v>
      </c>
      <c r="I952" s="17">
        <f t="shared" si="14"/>
        <v>98.28</v>
      </c>
      <c r="J952" s="1">
        <f>VLOOKUP(B952,'NOVACART DATA'!$B$2:$N$1001,13,FALSE)</f>
        <v>0</v>
      </c>
    </row>
    <row r="953" spans="1:10">
      <c r="A953" s="2">
        <f>VLOOKUP(B953,CHOOSE({1,2},'NOVACART DATA'!$B$2:$B$1001,'NOVACART DATA'!$A$2:$A$1001),2,FALSE)</f>
        <v>45669</v>
      </c>
      <c r="B953" s="1">
        <v>1213</v>
      </c>
      <c r="C953" s="1">
        <f>VLOOKUP(B953,'NOVACART DATA'!$B$2:$C$1000,2,FALSE)</f>
        <v>119</v>
      </c>
      <c r="D953" s="1">
        <v>16</v>
      </c>
      <c r="E953" s="1" t="str">
        <f>VLOOKUP(B953,'NOVACART DATA'!$B$2:$M$1001,5,FALSE)</f>
        <v>Paid Search</v>
      </c>
      <c r="F953" s="1">
        <v>3</v>
      </c>
      <c r="G953" s="1">
        <v>11.81</v>
      </c>
      <c r="H953" s="1">
        <v>0</v>
      </c>
      <c r="I953" s="17">
        <f t="shared" si="14"/>
        <v>35.43</v>
      </c>
      <c r="J953" s="1">
        <f>VLOOKUP(B953,'NOVACART DATA'!$B$2:$N$1001,13,FALSE)</f>
        <v>0</v>
      </c>
    </row>
    <row r="954" spans="1:10">
      <c r="A954" s="2">
        <f>VLOOKUP(B954,CHOOSE({1,2},'NOVACART DATA'!$B$2:$B$1001,'NOVACART DATA'!$A$2:$A$1001),2,FALSE)</f>
        <v>46114</v>
      </c>
      <c r="B954" s="1">
        <v>1455</v>
      </c>
      <c r="C954" s="1">
        <f>VLOOKUP(B954,'NOVACART DATA'!$B$2:$C$1000,2,FALSE)</f>
        <v>119</v>
      </c>
      <c r="D954" s="1">
        <v>32</v>
      </c>
      <c r="E954" s="1" t="str">
        <f>VLOOKUP(B954,'NOVACART DATA'!$B$2:$M$1001,5,FALSE)</f>
        <v>Paid Search</v>
      </c>
      <c r="F954" s="1">
        <v>1</v>
      </c>
      <c r="G954" s="1">
        <v>61.06</v>
      </c>
      <c r="H954" s="1">
        <v>0</v>
      </c>
      <c r="I954" s="17">
        <f t="shared" si="14"/>
        <v>61.06</v>
      </c>
      <c r="J954" s="1">
        <f>VLOOKUP(B954,'NOVACART DATA'!$B$2:$N$1001,13,FALSE)</f>
        <v>0</v>
      </c>
    </row>
    <row r="955" spans="1:10">
      <c r="A955" s="2">
        <f>VLOOKUP(B955,CHOOSE({1,2},'NOVACART DATA'!$B$2:$B$1001,'NOVACART DATA'!$A$2:$A$1001),2,FALSE)</f>
        <v>45820</v>
      </c>
      <c r="B955" s="1">
        <v>1232</v>
      </c>
      <c r="C955" s="1">
        <f>VLOOKUP(B955,'NOVACART DATA'!$B$2:$C$1000,2,FALSE)</f>
        <v>120</v>
      </c>
      <c r="D955" s="1">
        <v>33</v>
      </c>
      <c r="E955" s="1" t="str">
        <f>VLOOKUP(B955,'NOVACART DATA'!$B$2:$M$1001,5,FALSE)</f>
        <v>Direct</v>
      </c>
      <c r="F955" s="1">
        <v>3</v>
      </c>
      <c r="G955" s="1">
        <v>40.94</v>
      </c>
      <c r="H955" s="1">
        <v>0</v>
      </c>
      <c r="I955" s="17">
        <f t="shared" si="14"/>
        <v>122.82</v>
      </c>
      <c r="J955" s="1">
        <f>VLOOKUP(B955,'NOVACART DATA'!$B$2:$N$1001,13,FALSE)</f>
        <v>1</v>
      </c>
    </row>
    <row r="956" spans="1:10">
      <c r="A956" s="2">
        <f>VLOOKUP(B956,CHOOSE({1,2},'NOVACART DATA'!$B$2:$B$1001,'NOVACART DATA'!$A$2:$A$1001),2,FALSE)</f>
        <v>45942</v>
      </c>
      <c r="B956" s="1">
        <v>1253</v>
      </c>
      <c r="C956" s="1">
        <f>VLOOKUP(B956,'NOVACART DATA'!$B$2:$C$1000,2,FALSE)</f>
        <v>120</v>
      </c>
      <c r="D956" s="1">
        <v>20</v>
      </c>
      <c r="E956" s="1" t="str">
        <f>VLOOKUP(B956,'NOVACART DATA'!$B$2:$M$1001,5,FALSE)</f>
        <v>Direct</v>
      </c>
      <c r="F956" s="1">
        <v>1</v>
      </c>
      <c r="G956" s="1">
        <v>32.76</v>
      </c>
      <c r="H956" s="1">
        <v>0</v>
      </c>
      <c r="I956" s="17">
        <f t="shared" si="14"/>
        <v>32.76</v>
      </c>
      <c r="J956" s="1">
        <f>VLOOKUP(B956,'NOVACART DATA'!$B$2:$N$1001,13,FALSE)</f>
        <v>0</v>
      </c>
    </row>
    <row r="957" spans="1:10">
      <c r="A957" s="2">
        <f>VLOOKUP(B957,CHOOSE({1,2},'NOVACART DATA'!$B$2:$B$1001,'NOVACART DATA'!$A$2:$A$1001),2,FALSE)</f>
        <v>45977</v>
      </c>
      <c r="B957" s="1">
        <v>1137</v>
      </c>
      <c r="C957" s="1">
        <f>VLOOKUP(B957,'NOVACART DATA'!$B$2:$C$1000,2,FALSE)</f>
        <v>121</v>
      </c>
      <c r="D957" s="1">
        <v>5</v>
      </c>
      <c r="E957" s="1" t="str">
        <f>VLOOKUP(B957,'NOVACART DATA'!$B$2:$M$1001,5,FALSE)</f>
        <v>Social</v>
      </c>
      <c r="F957" s="1">
        <v>2</v>
      </c>
      <c r="G957" s="1">
        <v>42.53</v>
      </c>
      <c r="H957" s="1">
        <v>0</v>
      </c>
      <c r="I957" s="17">
        <f t="shared" si="14"/>
        <v>85.06</v>
      </c>
      <c r="J957" s="1">
        <f>VLOOKUP(B957,'NOVACART DATA'!$B$2:$N$1001,13,FALSE)</f>
        <v>0</v>
      </c>
    </row>
    <row r="958" spans="1:10">
      <c r="A958" s="2">
        <f>VLOOKUP(B958,CHOOSE({1,2},'NOVACART DATA'!$B$2:$B$1001,'NOVACART DATA'!$A$2:$A$1001),2,FALSE)</f>
        <v>45977</v>
      </c>
      <c r="B958" s="1">
        <v>1137</v>
      </c>
      <c r="C958" s="1">
        <f>VLOOKUP(B958,'NOVACART DATA'!$B$2:$C$1000,2,FALSE)</f>
        <v>121</v>
      </c>
      <c r="D958" s="1">
        <v>40</v>
      </c>
      <c r="E958" s="1" t="str">
        <f>VLOOKUP(B958,'NOVACART DATA'!$B$2:$M$1001,5,FALSE)</f>
        <v>Social</v>
      </c>
      <c r="F958" s="1">
        <v>1</v>
      </c>
      <c r="G958" s="1">
        <v>47.25</v>
      </c>
      <c r="H958" s="1">
        <v>0</v>
      </c>
      <c r="I958" s="17">
        <f t="shared" si="14"/>
        <v>47.25</v>
      </c>
      <c r="J958" s="1">
        <f>VLOOKUP(B958,'NOVACART DATA'!$B$2:$N$1001,13,FALSE)</f>
        <v>0</v>
      </c>
    </row>
    <row r="959" spans="1:10">
      <c r="A959" s="2">
        <f>VLOOKUP(B959,CHOOSE({1,2},'NOVACART DATA'!$B$2:$B$1001,'NOVACART DATA'!$A$2:$A$1001),2,FALSE)</f>
        <v>46010</v>
      </c>
      <c r="B959" s="1">
        <v>1301</v>
      </c>
      <c r="C959" s="1">
        <f>VLOOKUP(B959,'NOVACART DATA'!$B$2:$C$1000,2,FALSE)</f>
        <v>121</v>
      </c>
      <c r="D959" s="1">
        <v>10</v>
      </c>
      <c r="E959" s="1" t="str">
        <f>VLOOKUP(B959,'NOVACART DATA'!$B$2:$M$1001,5,FALSE)</f>
        <v>Social</v>
      </c>
      <c r="F959" s="1">
        <v>1</v>
      </c>
      <c r="G959" s="1">
        <v>62.68</v>
      </c>
      <c r="H959" s="1">
        <v>0</v>
      </c>
      <c r="I959" s="17">
        <f t="shared" si="14"/>
        <v>62.68</v>
      </c>
      <c r="J959" s="1">
        <f>VLOOKUP(B959,'NOVACART DATA'!$B$2:$N$1001,13,FALSE)</f>
        <v>0</v>
      </c>
    </row>
    <row r="960" spans="1:10">
      <c r="A960" s="2">
        <f>VLOOKUP(B960,CHOOSE({1,2},'NOVACART DATA'!$B$2:$B$1001,'NOVACART DATA'!$A$2:$A$1001),2,FALSE)</f>
        <v>46010</v>
      </c>
      <c r="B960" s="1">
        <v>1301</v>
      </c>
      <c r="C960" s="1">
        <f>VLOOKUP(B960,'NOVACART DATA'!$B$2:$C$1000,2,FALSE)</f>
        <v>121</v>
      </c>
      <c r="D960" s="1">
        <v>12</v>
      </c>
      <c r="E960" s="1" t="str">
        <f>VLOOKUP(B960,'NOVACART DATA'!$B$2:$M$1001,5,FALSE)</f>
        <v>Social</v>
      </c>
      <c r="F960" s="1">
        <v>1</v>
      </c>
      <c r="G960" s="1">
        <v>8.4499999999999993</v>
      </c>
      <c r="H960" s="1">
        <v>0</v>
      </c>
      <c r="I960" s="17">
        <f t="shared" si="14"/>
        <v>8.4499999999999993</v>
      </c>
      <c r="J960" s="1">
        <f>VLOOKUP(B960,'NOVACART DATA'!$B$2:$N$1001,13,FALSE)</f>
        <v>0</v>
      </c>
    </row>
    <row r="961" spans="1:10">
      <c r="A961" s="2">
        <f>VLOOKUP(B961,CHOOSE({1,2},'NOVACART DATA'!$B$2:$B$1001,'NOVACART DATA'!$A$2:$A$1001),2,FALSE)</f>
        <v>45972</v>
      </c>
      <c r="B961" s="1">
        <v>1115</v>
      </c>
      <c r="C961" s="1">
        <f>VLOOKUP(B961,'NOVACART DATA'!$B$2:$C$1000,2,FALSE)</f>
        <v>122</v>
      </c>
      <c r="D961" s="1">
        <v>6</v>
      </c>
      <c r="E961" s="1" t="str">
        <f>VLOOKUP(B961,'NOVACART DATA'!$B$2:$M$1001,5,FALSE)</f>
        <v>Organic</v>
      </c>
      <c r="F961" s="1">
        <v>3</v>
      </c>
      <c r="G961" s="1">
        <v>70.47</v>
      </c>
      <c r="H961" s="1">
        <v>25</v>
      </c>
      <c r="I961" s="17">
        <f t="shared" si="14"/>
        <v>158.5575</v>
      </c>
      <c r="J961" s="1">
        <f>VLOOKUP(B961,'NOVACART DATA'!$B$2:$N$1001,13,FALSE)</f>
        <v>0</v>
      </c>
    </row>
    <row r="962" spans="1:10">
      <c r="A962" s="2">
        <f>VLOOKUP(B962,CHOOSE({1,2},'NOVACART DATA'!$B$2:$B$1001,'NOVACART DATA'!$A$2:$A$1001),2,FALSE)</f>
        <v>45972</v>
      </c>
      <c r="B962" s="1">
        <v>1115</v>
      </c>
      <c r="C962" s="1">
        <f>VLOOKUP(B962,'NOVACART DATA'!$B$2:$C$1000,2,FALSE)</f>
        <v>122</v>
      </c>
      <c r="D962" s="1">
        <v>29</v>
      </c>
      <c r="E962" s="1" t="str">
        <f>VLOOKUP(B962,'NOVACART DATA'!$B$2:$M$1001,5,FALSE)</f>
        <v>Organic</v>
      </c>
      <c r="F962" s="1">
        <v>1</v>
      </c>
      <c r="G962" s="1">
        <v>45.67</v>
      </c>
      <c r="H962" s="1">
        <v>25</v>
      </c>
      <c r="I962" s="17">
        <f t="shared" ref="I962:I1025" si="15">F962*G962*(1-H962/100)</f>
        <v>34.252499999999998</v>
      </c>
      <c r="J962" s="1">
        <f>VLOOKUP(B962,'NOVACART DATA'!$B$2:$N$1001,13,FALSE)</f>
        <v>0</v>
      </c>
    </row>
    <row r="963" spans="1:10">
      <c r="A963" s="2">
        <f>VLOOKUP(B963,CHOOSE({1,2},'NOVACART DATA'!$B$2:$B$1001,'NOVACART DATA'!$A$2:$A$1001),2,FALSE)</f>
        <v>45972</v>
      </c>
      <c r="B963" s="1">
        <v>1115</v>
      </c>
      <c r="C963" s="1">
        <f>VLOOKUP(B963,'NOVACART DATA'!$B$2:$C$1000,2,FALSE)</f>
        <v>122</v>
      </c>
      <c r="D963" s="1">
        <v>20</v>
      </c>
      <c r="E963" s="1" t="str">
        <f>VLOOKUP(B963,'NOVACART DATA'!$B$2:$M$1001,5,FALSE)</f>
        <v>Organic</v>
      </c>
      <c r="F963" s="1">
        <v>1</v>
      </c>
      <c r="G963" s="1">
        <v>32.76</v>
      </c>
      <c r="H963" s="1">
        <v>20</v>
      </c>
      <c r="I963" s="17">
        <f t="shared" si="15"/>
        <v>26.207999999999998</v>
      </c>
      <c r="J963" s="1">
        <f>VLOOKUP(B963,'NOVACART DATA'!$B$2:$N$1001,13,FALSE)</f>
        <v>0</v>
      </c>
    </row>
    <row r="964" spans="1:10">
      <c r="A964" s="2">
        <f>VLOOKUP(B964,CHOOSE({1,2},'NOVACART DATA'!$B$2:$B$1001,'NOVACART DATA'!$A$2:$A$1001),2,FALSE)</f>
        <v>45972</v>
      </c>
      <c r="B964" s="1">
        <v>1115</v>
      </c>
      <c r="C964" s="1">
        <f>VLOOKUP(B964,'NOVACART DATA'!$B$2:$C$1000,2,FALSE)</f>
        <v>122</v>
      </c>
      <c r="D964" s="1">
        <v>38</v>
      </c>
      <c r="E964" s="1" t="str">
        <f>VLOOKUP(B964,'NOVACART DATA'!$B$2:$M$1001,5,FALSE)</f>
        <v>Organic</v>
      </c>
      <c r="F964" s="1">
        <v>1</v>
      </c>
      <c r="G964" s="1">
        <v>25.14</v>
      </c>
      <c r="H964" s="1">
        <v>15</v>
      </c>
      <c r="I964" s="17">
        <f t="shared" si="15"/>
        <v>21.369</v>
      </c>
      <c r="J964" s="1">
        <f>VLOOKUP(B964,'NOVACART DATA'!$B$2:$N$1001,13,FALSE)</f>
        <v>0</v>
      </c>
    </row>
    <row r="965" spans="1:10">
      <c r="A965" s="2">
        <f>VLOOKUP(B965,CHOOSE({1,2},'NOVACART DATA'!$B$2:$B$1001,'NOVACART DATA'!$A$2:$A$1001),2,FALSE)</f>
        <v>45985</v>
      </c>
      <c r="B965" s="1">
        <v>1174</v>
      </c>
      <c r="C965" s="1">
        <f>VLOOKUP(B965,'NOVACART DATA'!$B$2:$C$1000,2,FALSE)</f>
        <v>122</v>
      </c>
      <c r="D965" s="1">
        <v>14</v>
      </c>
      <c r="E965" s="1" t="str">
        <f>VLOOKUP(B965,'NOVACART DATA'!$B$2:$M$1001,5,FALSE)</f>
        <v>Organic</v>
      </c>
      <c r="F965" s="1">
        <v>2</v>
      </c>
      <c r="G965" s="1">
        <v>15.36</v>
      </c>
      <c r="H965" s="1">
        <v>0</v>
      </c>
      <c r="I965" s="17">
        <f t="shared" si="15"/>
        <v>30.72</v>
      </c>
      <c r="J965" s="1">
        <f>VLOOKUP(B965,'NOVACART DATA'!$B$2:$N$1001,13,FALSE)</f>
        <v>0</v>
      </c>
    </row>
    <row r="966" spans="1:10">
      <c r="A966" s="2">
        <f>VLOOKUP(B966,CHOOSE({1,2},'NOVACART DATA'!$B$2:$B$1001,'NOVACART DATA'!$A$2:$A$1001),2,FALSE)</f>
        <v>45985</v>
      </c>
      <c r="B966" s="1">
        <v>1174</v>
      </c>
      <c r="C966" s="1">
        <f>VLOOKUP(B966,'NOVACART DATA'!$B$2:$C$1000,2,FALSE)</f>
        <v>122</v>
      </c>
      <c r="D966" s="1">
        <v>11</v>
      </c>
      <c r="E966" s="1" t="str">
        <f>VLOOKUP(B966,'NOVACART DATA'!$B$2:$M$1001,5,FALSE)</f>
        <v>Organic</v>
      </c>
      <c r="F966" s="1">
        <v>1</v>
      </c>
      <c r="G966" s="1">
        <v>58.35</v>
      </c>
      <c r="H966" s="1">
        <v>0</v>
      </c>
      <c r="I966" s="17">
        <f t="shared" si="15"/>
        <v>58.35</v>
      </c>
      <c r="J966" s="1">
        <f>VLOOKUP(B966,'NOVACART DATA'!$B$2:$N$1001,13,FALSE)</f>
        <v>0</v>
      </c>
    </row>
    <row r="967" spans="1:10">
      <c r="A967" s="2">
        <f>VLOOKUP(B967,CHOOSE({1,2},'NOVACART DATA'!$B$2:$B$1001,'NOVACART DATA'!$A$2:$A$1001),2,FALSE)</f>
        <v>46297</v>
      </c>
      <c r="B967" s="1">
        <v>1472</v>
      </c>
      <c r="C967" s="1">
        <f>VLOOKUP(B967,'NOVACART DATA'!$B$2:$C$1000,2,FALSE)</f>
        <v>122</v>
      </c>
      <c r="D967" s="1">
        <v>2</v>
      </c>
      <c r="E967" s="1" t="str">
        <f>VLOOKUP(B967,'NOVACART DATA'!$B$2:$M$1001,5,FALSE)</f>
        <v>Organic</v>
      </c>
      <c r="F967" s="1">
        <v>1</v>
      </c>
      <c r="G967" s="1">
        <v>64.02</v>
      </c>
      <c r="H967" s="1">
        <v>15</v>
      </c>
      <c r="I967" s="17">
        <f t="shared" si="15"/>
        <v>54.416999999999994</v>
      </c>
      <c r="J967" s="1">
        <f>VLOOKUP(B967,'NOVACART DATA'!$B$2:$N$1001,13,FALSE)</f>
        <v>0</v>
      </c>
    </row>
    <row r="968" spans="1:10">
      <c r="A968" s="2">
        <f>VLOOKUP(B968,CHOOSE({1,2},'NOVACART DATA'!$B$2:$B$1001,'NOVACART DATA'!$A$2:$A$1001),2,FALSE)</f>
        <v>46358</v>
      </c>
      <c r="B968" s="1">
        <v>1481</v>
      </c>
      <c r="C968" s="1">
        <f>VLOOKUP(B968,'NOVACART DATA'!$B$2:$C$1000,2,FALSE)</f>
        <v>122</v>
      </c>
      <c r="D968" s="1">
        <v>40</v>
      </c>
      <c r="E968" s="1" t="str">
        <f>VLOOKUP(B968,'NOVACART DATA'!$B$2:$M$1001,5,FALSE)</f>
        <v>Organic</v>
      </c>
      <c r="F968" s="1">
        <v>1</v>
      </c>
      <c r="G968" s="1">
        <v>47.25</v>
      </c>
      <c r="H968" s="1">
        <v>0</v>
      </c>
      <c r="I968" s="17">
        <f t="shared" si="15"/>
        <v>47.25</v>
      </c>
      <c r="J968" s="1">
        <f>VLOOKUP(B968,'NOVACART DATA'!$B$2:$N$1001,13,FALSE)</f>
        <v>0</v>
      </c>
    </row>
    <row r="969" spans="1:10">
      <c r="A969" s="2">
        <f>VLOOKUP(B969,CHOOSE({1,2},'NOVACART DATA'!$B$2:$B$1001,'NOVACART DATA'!$A$2:$A$1001),2,FALSE)</f>
        <v>46067</v>
      </c>
      <c r="B969" s="1">
        <v>1487</v>
      </c>
      <c r="C969" s="1">
        <f>VLOOKUP(B969,'NOVACART DATA'!$B$2:$C$1000,2,FALSE)</f>
        <v>122</v>
      </c>
      <c r="D969" s="1">
        <v>40</v>
      </c>
      <c r="E969" s="1" t="str">
        <f>VLOOKUP(B969,'NOVACART DATA'!$B$2:$M$1001,5,FALSE)</f>
        <v>Organic</v>
      </c>
      <c r="F969" s="1">
        <v>1</v>
      </c>
      <c r="G969" s="1">
        <v>47.25</v>
      </c>
      <c r="H969" s="1">
        <v>0</v>
      </c>
      <c r="I969" s="17">
        <f t="shared" si="15"/>
        <v>47.25</v>
      </c>
      <c r="J969" s="1">
        <f>VLOOKUP(B969,'NOVACART DATA'!$B$2:$N$1001,13,FALSE)</f>
        <v>0</v>
      </c>
    </row>
    <row r="970" spans="1:10">
      <c r="A970" s="2">
        <f>VLOOKUP(B970,CHOOSE({1,2},'NOVACART DATA'!$B$2:$B$1001,'NOVACART DATA'!$A$2:$A$1001),2,FALSE)</f>
        <v>46067</v>
      </c>
      <c r="B970" s="1">
        <v>1487</v>
      </c>
      <c r="C970" s="1">
        <f>VLOOKUP(B970,'NOVACART DATA'!$B$2:$C$1000,2,FALSE)</f>
        <v>122</v>
      </c>
      <c r="D970" s="1">
        <v>39</v>
      </c>
      <c r="E970" s="1" t="str">
        <f>VLOOKUP(B970,'NOVACART DATA'!$B$2:$M$1001,5,FALSE)</f>
        <v>Organic</v>
      </c>
      <c r="F970" s="1">
        <v>1</v>
      </c>
      <c r="G970" s="1">
        <v>39.979999999999997</v>
      </c>
      <c r="H970" s="1">
        <v>0</v>
      </c>
      <c r="I970" s="17">
        <f t="shared" si="15"/>
        <v>39.979999999999997</v>
      </c>
      <c r="J970" s="1">
        <f>VLOOKUP(B970,'NOVACART DATA'!$B$2:$N$1001,13,FALSE)</f>
        <v>0</v>
      </c>
    </row>
    <row r="971" spans="1:10">
      <c r="A971" s="2">
        <f>VLOOKUP(B971,CHOOSE({1,2},'NOVACART DATA'!$B$2:$B$1001,'NOVACART DATA'!$A$2:$A$1001),2,FALSE)</f>
        <v>46067</v>
      </c>
      <c r="B971" s="1">
        <v>1487</v>
      </c>
      <c r="C971" s="1">
        <f>VLOOKUP(B971,'NOVACART DATA'!$B$2:$C$1000,2,FALSE)</f>
        <v>122</v>
      </c>
      <c r="D971" s="1">
        <v>39</v>
      </c>
      <c r="E971" s="1" t="str">
        <f>VLOOKUP(B971,'NOVACART DATA'!$B$2:$M$1001,5,FALSE)</f>
        <v>Organic</v>
      </c>
      <c r="F971" s="1">
        <v>1</v>
      </c>
      <c r="G971" s="1">
        <v>39.979999999999997</v>
      </c>
      <c r="H971" s="1">
        <v>5.5</v>
      </c>
      <c r="I971" s="17">
        <f t="shared" si="15"/>
        <v>37.781099999999995</v>
      </c>
      <c r="J971" s="1">
        <f>VLOOKUP(B971,'NOVACART DATA'!$B$2:$N$1001,13,FALSE)</f>
        <v>0</v>
      </c>
    </row>
    <row r="972" spans="1:10">
      <c r="A972" s="2">
        <f>VLOOKUP(B972,CHOOSE({1,2},'NOVACART DATA'!$B$2:$B$1001,'NOVACART DATA'!$A$2:$A$1001),2,FALSE)</f>
        <v>46046</v>
      </c>
      <c r="B972" s="1">
        <v>1430</v>
      </c>
      <c r="C972" s="1">
        <f>VLOOKUP(B972,'NOVACART DATA'!$B$2:$C$1000,2,FALSE)</f>
        <v>123</v>
      </c>
      <c r="D972" s="1">
        <v>40</v>
      </c>
      <c r="E972" s="1" t="str">
        <f>VLOOKUP(B972,'NOVACART DATA'!$B$2:$M$1001,5,FALSE)</f>
        <v>Paid Search</v>
      </c>
      <c r="F972" s="1">
        <v>1</v>
      </c>
      <c r="G972" s="1">
        <v>47.25</v>
      </c>
      <c r="H972" s="1">
        <v>10</v>
      </c>
      <c r="I972" s="17">
        <f t="shared" si="15"/>
        <v>42.524999999999999</v>
      </c>
      <c r="J972" s="1">
        <f>VLOOKUP(B972,'NOVACART DATA'!$B$2:$N$1001,13,FALSE)</f>
        <v>0</v>
      </c>
    </row>
    <row r="973" spans="1:10">
      <c r="A973" s="2">
        <f>VLOOKUP(B973,CHOOSE({1,2},'NOVACART DATA'!$B$2:$B$1001,'NOVACART DATA'!$A$2:$A$1001),2,FALSE)</f>
        <v>45820</v>
      </c>
      <c r="B973" s="1">
        <v>1233</v>
      </c>
      <c r="C973" s="1">
        <f>VLOOKUP(B973,'NOVACART DATA'!$B$2:$C$1000,2,FALSE)</f>
        <v>124</v>
      </c>
      <c r="D973" s="1">
        <v>26</v>
      </c>
      <c r="E973" s="1" t="str">
        <f>VLOOKUP(B973,'NOVACART DATA'!$B$2:$M$1001,5,FALSE)</f>
        <v>Organic</v>
      </c>
      <c r="F973" s="1">
        <v>1</v>
      </c>
      <c r="G973" s="1">
        <v>31.76</v>
      </c>
      <c r="H973" s="1">
        <v>0</v>
      </c>
      <c r="I973" s="17">
        <f t="shared" si="15"/>
        <v>31.76</v>
      </c>
      <c r="J973" s="1">
        <f>VLOOKUP(B973,'NOVACART DATA'!$B$2:$N$1001,13,FALSE)</f>
        <v>0</v>
      </c>
    </row>
    <row r="974" spans="1:10">
      <c r="A974" s="2">
        <f>VLOOKUP(B974,CHOOSE({1,2},'NOVACART DATA'!$B$2:$B$1001,'NOVACART DATA'!$A$2:$A$1001),2,FALSE)</f>
        <v>45820</v>
      </c>
      <c r="B974" s="1">
        <v>1233</v>
      </c>
      <c r="C974" s="1">
        <f>VLOOKUP(B974,'NOVACART DATA'!$B$2:$C$1000,2,FALSE)</f>
        <v>124</v>
      </c>
      <c r="D974" s="1">
        <v>3</v>
      </c>
      <c r="E974" s="1" t="str">
        <f>VLOOKUP(B974,'NOVACART DATA'!$B$2:$M$1001,5,FALSE)</f>
        <v>Organic</v>
      </c>
      <c r="F974" s="1">
        <v>2</v>
      </c>
      <c r="G974" s="1">
        <v>25.47</v>
      </c>
      <c r="H974" s="1">
        <v>0</v>
      </c>
      <c r="I974" s="17">
        <f t="shared" si="15"/>
        <v>50.94</v>
      </c>
      <c r="J974" s="1">
        <f>VLOOKUP(B974,'NOVACART DATA'!$B$2:$N$1001,13,FALSE)</f>
        <v>0</v>
      </c>
    </row>
    <row r="975" spans="1:10">
      <c r="A975" s="2">
        <f>VLOOKUP(B975,CHOOSE({1,2},'NOVACART DATA'!$B$2:$B$1001,'NOVACART DATA'!$A$2:$A$1001),2,FALSE)</f>
        <v>45820</v>
      </c>
      <c r="B975" s="1">
        <v>1233</v>
      </c>
      <c r="C975" s="1">
        <f>VLOOKUP(B975,'NOVACART DATA'!$B$2:$C$1000,2,FALSE)</f>
        <v>124</v>
      </c>
      <c r="D975" s="1">
        <v>36</v>
      </c>
      <c r="E975" s="1" t="str">
        <f>VLOOKUP(B975,'NOVACART DATA'!$B$2:$M$1001,5,FALSE)</f>
        <v>Organic</v>
      </c>
      <c r="F975" s="1">
        <v>1</v>
      </c>
      <c r="G975" s="1">
        <v>23.23</v>
      </c>
      <c r="H975" s="1">
        <v>0</v>
      </c>
      <c r="I975" s="17">
        <f t="shared" si="15"/>
        <v>23.23</v>
      </c>
      <c r="J975" s="1">
        <f>VLOOKUP(B975,'NOVACART DATA'!$B$2:$N$1001,13,FALSE)</f>
        <v>0</v>
      </c>
    </row>
    <row r="976" spans="1:10">
      <c r="A976" s="2">
        <f>VLOOKUP(B976,CHOOSE({1,2},'NOVACART DATA'!$B$2:$B$1001,'NOVACART DATA'!$A$2:$A$1001),2,FALSE)</f>
        <v>45820</v>
      </c>
      <c r="B976" s="1">
        <v>1233</v>
      </c>
      <c r="C976" s="1">
        <f>VLOOKUP(B976,'NOVACART DATA'!$B$2:$C$1000,2,FALSE)</f>
        <v>124</v>
      </c>
      <c r="D976" s="1">
        <v>14</v>
      </c>
      <c r="E976" s="1" t="str">
        <f>VLOOKUP(B976,'NOVACART DATA'!$B$2:$M$1001,5,FALSE)</f>
        <v>Organic</v>
      </c>
      <c r="F976" s="1">
        <v>1</v>
      </c>
      <c r="G976" s="1">
        <v>15.36</v>
      </c>
      <c r="H976" s="1">
        <v>0</v>
      </c>
      <c r="I976" s="17">
        <f t="shared" si="15"/>
        <v>15.36</v>
      </c>
      <c r="J976" s="1">
        <f>VLOOKUP(B976,'NOVACART DATA'!$B$2:$N$1001,13,FALSE)</f>
        <v>0</v>
      </c>
    </row>
    <row r="977" spans="1:10">
      <c r="A977" s="2">
        <f>VLOOKUP(B977,CHOOSE({1,2},'NOVACART DATA'!$B$2:$B$1001,'NOVACART DATA'!$A$2:$A$1001),2,FALSE)</f>
        <v>46009</v>
      </c>
      <c r="B977" s="1">
        <v>1295</v>
      </c>
      <c r="C977" s="1">
        <f>VLOOKUP(B977,'NOVACART DATA'!$B$2:$C$1000,2,FALSE)</f>
        <v>124</v>
      </c>
      <c r="D977" s="1">
        <v>32</v>
      </c>
      <c r="E977" s="1" t="str">
        <f>VLOOKUP(B977,'NOVACART DATA'!$B$2:$M$1001,5,FALSE)</f>
        <v>Organic</v>
      </c>
      <c r="F977" s="1">
        <v>1</v>
      </c>
      <c r="G977" s="1">
        <v>61.06</v>
      </c>
      <c r="H977" s="1">
        <v>0</v>
      </c>
      <c r="I977" s="17">
        <f t="shared" si="15"/>
        <v>61.06</v>
      </c>
      <c r="J977" s="1">
        <f>VLOOKUP(B977,'NOVACART DATA'!$B$2:$N$1001,13,FALSE)</f>
        <v>0</v>
      </c>
    </row>
    <row r="978" spans="1:10">
      <c r="A978" s="2">
        <f>VLOOKUP(B978,CHOOSE({1,2},'NOVACART DATA'!$B$2:$B$1001,'NOVACART DATA'!$A$2:$A$1001),2,FALSE)</f>
        <v>46019</v>
      </c>
      <c r="B978" s="1">
        <v>1346</v>
      </c>
      <c r="C978" s="1">
        <f>VLOOKUP(B978,'NOVACART DATA'!$B$2:$C$1000,2,FALSE)</f>
        <v>124</v>
      </c>
      <c r="D978" s="1">
        <v>3</v>
      </c>
      <c r="E978" s="1" t="str">
        <f>VLOOKUP(B978,'NOVACART DATA'!$B$2:$M$1001,5,FALSE)</f>
        <v>Organic</v>
      </c>
      <c r="F978" s="1">
        <v>1</v>
      </c>
      <c r="G978" s="1">
        <v>25.47</v>
      </c>
      <c r="H978" s="1">
        <v>25</v>
      </c>
      <c r="I978" s="17">
        <f t="shared" si="15"/>
        <v>19.102499999999999</v>
      </c>
      <c r="J978" s="1">
        <f>VLOOKUP(B978,'NOVACART DATA'!$B$2:$N$1001,13,FALSE)</f>
        <v>0</v>
      </c>
    </row>
    <row r="979" spans="1:10">
      <c r="A979" s="2">
        <f>VLOOKUP(B979,CHOOSE({1,2},'NOVACART DATA'!$B$2:$B$1001,'NOVACART DATA'!$A$2:$A$1001),2,FALSE)</f>
        <v>46036</v>
      </c>
      <c r="B979" s="1">
        <v>1404</v>
      </c>
      <c r="C979" s="1">
        <f>VLOOKUP(B979,'NOVACART DATA'!$B$2:$C$1000,2,FALSE)</f>
        <v>124</v>
      </c>
      <c r="D979" s="1">
        <v>39</v>
      </c>
      <c r="E979" s="1" t="str">
        <f>VLOOKUP(B979,'NOVACART DATA'!$B$2:$M$1001,5,FALSE)</f>
        <v>Organic</v>
      </c>
      <c r="F979" s="1">
        <v>2</v>
      </c>
      <c r="G979" s="1">
        <v>39.979999999999997</v>
      </c>
      <c r="H979" s="1">
        <v>0</v>
      </c>
      <c r="I979" s="17">
        <f t="shared" si="15"/>
        <v>79.959999999999994</v>
      </c>
      <c r="J979" s="1">
        <f>VLOOKUP(B979,'NOVACART DATA'!$B$2:$N$1001,13,FALSE)</f>
        <v>0</v>
      </c>
    </row>
    <row r="980" spans="1:10">
      <c r="A980" s="2">
        <f>VLOOKUP(B980,CHOOSE({1,2},'NOVACART DATA'!$B$2:$B$1001,'NOVACART DATA'!$A$2:$A$1001),2,FALSE)</f>
        <v>46009</v>
      </c>
      <c r="B980" s="1">
        <v>1295</v>
      </c>
      <c r="C980" s="1">
        <f>VLOOKUP(B980,'NOVACART DATA'!$B$2:$C$1000,2,FALSE)</f>
        <v>124</v>
      </c>
      <c r="D980" s="1">
        <v>10</v>
      </c>
      <c r="E980" s="1" t="str">
        <f>VLOOKUP(B980,'NOVACART DATA'!$B$2:$M$1001,5,FALSE)</f>
        <v>Organic</v>
      </c>
      <c r="F980" s="1">
        <v>1</v>
      </c>
      <c r="G980" s="1">
        <v>62.68</v>
      </c>
      <c r="H980" s="1">
        <v>0</v>
      </c>
      <c r="I980" s="17">
        <f t="shared" si="15"/>
        <v>62.68</v>
      </c>
      <c r="J980" s="1">
        <f>VLOOKUP(B980,'NOVACART DATA'!$B$2:$N$1001,13,FALSE)</f>
        <v>0</v>
      </c>
    </row>
    <row r="981" spans="1:10">
      <c r="A981" s="2">
        <f>VLOOKUP(B981,CHOOSE({1,2},'NOVACART DATA'!$B$2:$B$1001,'NOVACART DATA'!$A$2:$A$1001),2,FALSE)</f>
        <v>45758</v>
      </c>
      <c r="B981" s="1">
        <v>1079</v>
      </c>
      <c r="C981" s="1">
        <f>VLOOKUP(B981,'NOVACART DATA'!$B$2:$C$1000,2,FALSE)</f>
        <v>125</v>
      </c>
      <c r="D981" s="1">
        <v>24</v>
      </c>
      <c r="E981" s="1" t="str">
        <f>VLOOKUP(B981,'NOVACART DATA'!$B$2:$M$1001,5,FALSE)</f>
        <v>Organic</v>
      </c>
      <c r="F981" s="1">
        <v>1</v>
      </c>
      <c r="G981" s="1">
        <v>43.42</v>
      </c>
      <c r="H981" s="1">
        <v>0</v>
      </c>
      <c r="I981" s="17">
        <f t="shared" si="15"/>
        <v>43.42</v>
      </c>
      <c r="J981" s="1">
        <f>VLOOKUP(B981,'NOVACART DATA'!$B$2:$N$1001,13,FALSE)</f>
        <v>0</v>
      </c>
    </row>
    <row r="982" spans="1:10">
      <c r="A982" s="2">
        <f>VLOOKUP(B982,CHOOSE({1,2},'NOVACART DATA'!$B$2:$B$1001,'NOVACART DATA'!$A$2:$A$1001),2,FALSE)</f>
        <v>45758</v>
      </c>
      <c r="B982" s="1">
        <v>1079</v>
      </c>
      <c r="C982" s="1">
        <f>VLOOKUP(B982,'NOVACART DATA'!$B$2:$C$1000,2,FALSE)</f>
        <v>125</v>
      </c>
      <c r="D982" s="1">
        <v>36</v>
      </c>
      <c r="E982" s="1" t="str">
        <f>VLOOKUP(B982,'NOVACART DATA'!$B$2:$M$1001,5,FALSE)</f>
        <v>Organic</v>
      </c>
      <c r="F982" s="1">
        <v>2</v>
      </c>
      <c r="G982" s="1">
        <v>23.23</v>
      </c>
      <c r="H982" s="1">
        <v>5</v>
      </c>
      <c r="I982" s="17">
        <f t="shared" si="15"/>
        <v>44.137</v>
      </c>
      <c r="J982" s="1">
        <f>VLOOKUP(B982,'NOVACART DATA'!$B$2:$N$1001,13,FALSE)</f>
        <v>0</v>
      </c>
    </row>
    <row r="983" spans="1:10">
      <c r="A983" s="2">
        <f>VLOOKUP(B983,CHOOSE({1,2},'NOVACART DATA'!$B$2:$B$1001,'NOVACART DATA'!$A$2:$A$1001),2,FALSE)</f>
        <v>45758</v>
      </c>
      <c r="B983" s="1">
        <v>1079</v>
      </c>
      <c r="C983" s="1">
        <f>VLOOKUP(B983,'NOVACART DATA'!$B$2:$C$1000,2,FALSE)</f>
        <v>125</v>
      </c>
      <c r="D983" s="1">
        <v>12</v>
      </c>
      <c r="E983" s="1" t="str">
        <f>VLOOKUP(B983,'NOVACART DATA'!$B$2:$M$1001,5,FALSE)</f>
        <v>Organic</v>
      </c>
      <c r="F983" s="1">
        <v>1</v>
      </c>
      <c r="G983" s="1">
        <v>8.4499999999999993</v>
      </c>
      <c r="H983" s="1">
        <v>0</v>
      </c>
      <c r="I983" s="17">
        <f t="shared" si="15"/>
        <v>8.4499999999999993</v>
      </c>
      <c r="J983" s="1">
        <f>VLOOKUP(B983,'NOVACART DATA'!$B$2:$N$1001,13,FALSE)</f>
        <v>0</v>
      </c>
    </row>
    <row r="984" spans="1:10">
      <c r="A984" s="2">
        <f>VLOOKUP(B984,CHOOSE({1,2},'NOVACART DATA'!$B$2:$B$1001,'NOVACART DATA'!$A$2:$A$1001),2,FALSE)</f>
        <v>45976</v>
      </c>
      <c r="B984" s="1">
        <v>1134</v>
      </c>
      <c r="C984" s="1">
        <f>VLOOKUP(B984,'NOVACART DATA'!$B$2:$C$1000,2,FALSE)</f>
        <v>125</v>
      </c>
      <c r="D984" s="1">
        <v>4</v>
      </c>
      <c r="E984" s="1" t="str">
        <f>VLOOKUP(B984,'NOVACART DATA'!$B$2:$M$1001,5,FALSE)</f>
        <v>Organic</v>
      </c>
      <c r="F984" s="1">
        <v>3</v>
      </c>
      <c r="G984" s="1">
        <v>34.83</v>
      </c>
      <c r="H984" s="1">
        <v>0</v>
      </c>
      <c r="I984" s="17">
        <f t="shared" si="15"/>
        <v>104.49</v>
      </c>
      <c r="J984" s="1">
        <f>VLOOKUP(B984,'NOVACART DATA'!$B$2:$N$1001,13,FALSE)</f>
        <v>0</v>
      </c>
    </row>
    <row r="985" spans="1:10">
      <c r="A985" s="2">
        <f>VLOOKUP(B985,CHOOSE({1,2},'NOVACART DATA'!$B$2:$B$1001,'NOVACART DATA'!$A$2:$A$1001),2,FALSE)</f>
        <v>45976</v>
      </c>
      <c r="B985" s="1">
        <v>1134</v>
      </c>
      <c r="C985" s="1">
        <f>VLOOKUP(B985,'NOVACART DATA'!$B$2:$C$1000,2,FALSE)</f>
        <v>125</v>
      </c>
      <c r="D985" s="1">
        <v>17</v>
      </c>
      <c r="E985" s="1" t="str">
        <f>VLOOKUP(B985,'NOVACART DATA'!$B$2:$M$1001,5,FALSE)</f>
        <v>Organic</v>
      </c>
      <c r="F985" s="1">
        <v>1</v>
      </c>
      <c r="G985" s="1">
        <v>6.61</v>
      </c>
      <c r="H985" s="1">
        <v>0</v>
      </c>
      <c r="I985" s="17">
        <f t="shared" si="15"/>
        <v>6.61</v>
      </c>
      <c r="J985" s="1">
        <f>VLOOKUP(B985,'NOVACART DATA'!$B$2:$N$1001,13,FALSE)</f>
        <v>0</v>
      </c>
    </row>
    <row r="986" spans="1:10">
      <c r="A986" s="2">
        <f>VLOOKUP(B986,CHOOSE({1,2},'NOVACART DATA'!$B$2:$B$1001,'NOVACART DATA'!$A$2:$A$1001),2,FALSE)</f>
        <v>46015</v>
      </c>
      <c r="B986" s="1">
        <v>1323</v>
      </c>
      <c r="C986" s="1">
        <f>VLOOKUP(B986,'NOVACART DATA'!$B$2:$C$1000,2,FALSE)</f>
        <v>125</v>
      </c>
      <c r="D986" s="1">
        <v>30</v>
      </c>
      <c r="E986" s="1" t="str">
        <f>VLOOKUP(B986,'NOVACART DATA'!$B$2:$M$1001,5,FALSE)</f>
        <v>Organic</v>
      </c>
      <c r="F986" s="1">
        <v>1</v>
      </c>
      <c r="G986" s="1">
        <v>41.49</v>
      </c>
      <c r="H986" s="1">
        <v>10</v>
      </c>
      <c r="I986" s="17">
        <f t="shared" si="15"/>
        <v>37.341000000000001</v>
      </c>
      <c r="J986" s="1">
        <f>VLOOKUP(B986,'NOVACART DATA'!$B$2:$N$1001,13,FALSE)</f>
        <v>0</v>
      </c>
    </row>
    <row r="987" spans="1:10">
      <c r="A987" s="2">
        <f>VLOOKUP(B987,CHOOSE({1,2},'NOVACART DATA'!$B$2:$B$1001,'NOVACART DATA'!$A$2:$A$1001),2,FALSE)</f>
        <v>46015</v>
      </c>
      <c r="B987" s="1">
        <v>1323</v>
      </c>
      <c r="C987" s="1">
        <f>VLOOKUP(B987,'NOVACART DATA'!$B$2:$C$1000,2,FALSE)</f>
        <v>125</v>
      </c>
      <c r="D987" s="1">
        <v>13</v>
      </c>
      <c r="E987" s="1" t="str">
        <f>VLOOKUP(B987,'NOVACART DATA'!$B$2:$M$1001,5,FALSE)</f>
        <v>Organic</v>
      </c>
      <c r="F987" s="1">
        <v>1</v>
      </c>
      <c r="G987" s="1">
        <v>54.9</v>
      </c>
      <c r="H987" s="1">
        <v>0</v>
      </c>
      <c r="I987" s="17">
        <f t="shared" si="15"/>
        <v>54.9</v>
      </c>
      <c r="J987" s="1">
        <f>VLOOKUP(B987,'NOVACART DATA'!$B$2:$N$1001,13,FALSE)</f>
        <v>0</v>
      </c>
    </row>
    <row r="988" spans="1:10">
      <c r="A988" s="2">
        <f>VLOOKUP(B988,CHOOSE({1,2},'NOVACART DATA'!$B$2:$B$1001,'NOVACART DATA'!$A$2:$A$1001),2,FALSE)</f>
        <v>46015</v>
      </c>
      <c r="B988" s="1">
        <v>1323</v>
      </c>
      <c r="C988" s="1">
        <f>VLOOKUP(B988,'NOVACART DATA'!$B$2:$C$1000,2,FALSE)</f>
        <v>125</v>
      </c>
      <c r="D988" s="1">
        <v>8</v>
      </c>
      <c r="E988" s="1" t="str">
        <f>VLOOKUP(B988,'NOVACART DATA'!$B$2:$M$1001,5,FALSE)</f>
        <v>Organic</v>
      </c>
      <c r="F988" s="1">
        <v>1</v>
      </c>
      <c r="G988" s="1">
        <v>16.72</v>
      </c>
      <c r="H988" s="1">
        <v>10</v>
      </c>
      <c r="I988" s="17">
        <f t="shared" si="15"/>
        <v>15.048</v>
      </c>
      <c r="J988" s="1">
        <f>VLOOKUP(B988,'NOVACART DATA'!$B$2:$N$1001,13,FALSE)</f>
        <v>0</v>
      </c>
    </row>
    <row r="989" spans="1:10">
      <c r="A989" s="2">
        <f>VLOOKUP(B989,CHOOSE({1,2},'NOVACART DATA'!$B$2:$B$1001,'NOVACART DATA'!$A$2:$A$1001),2,FALSE)</f>
        <v>46016</v>
      </c>
      <c r="B989" s="1">
        <v>1362</v>
      </c>
      <c r="C989" s="1">
        <f>VLOOKUP(B989,'NOVACART DATA'!$B$2:$C$1000,2,FALSE)</f>
        <v>125</v>
      </c>
      <c r="D989" s="1">
        <v>18</v>
      </c>
      <c r="E989" s="1" t="str">
        <f>VLOOKUP(B989,'NOVACART DATA'!$B$2:$M$1001,5,FALSE)</f>
        <v>Organic</v>
      </c>
      <c r="F989" s="1">
        <v>3</v>
      </c>
      <c r="G989" s="1">
        <v>44.01</v>
      </c>
      <c r="H989" s="1">
        <v>0</v>
      </c>
      <c r="I989" s="17">
        <f t="shared" si="15"/>
        <v>132.03</v>
      </c>
      <c r="J989" s="1">
        <f>VLOOKUP(B989,'NOVACART DATA'!$B$2:$N$1001,13,FALSE)</f>
        <v>0</v>
      </c>
    </row>
    <row r="990" spans="1:10">
      <c r="A990" s="2">
        <f>VLOOKUP(B990,CHOOSE({1,2},'NOVACART DATA'!$B$2:$B$1001,'NOVACART DATA'!$A$2:$A$1001),2,FALSE)</f>
        <v>46016</v>
      </c>
      <c r="B990" s="1">
        <v>1362</v>
      </c>
      <c r="C990" s="1">
        <f>VLOOKUP(B990,'NOVACART DATA'!$B$2:$C$1000,2,FALSE)</f>
        <v>125</v>
      </c>
      <c r="D990" s="1">
        <v>23</v>
      </c>
      <c r="E990" s="1" t="str">
        <f>VLOOKUP(B990,'NOVACART DATA'!$B$2:$M$1001,5,FALSE)</f>
        <v>Organic</v>
      </c>
      <c r="F990" s="1">
        <v>3</v>
      </c>
      <c r="G990" s="1">
        <v>38.14</v>
      </c>
      <c r="H990" s="1">
        <v>5</v>
      </c>
      <c r="I990" s="17">
        <f t="shared" si="15"/>
        <v>108.699</v>
      </c>
      <c r="J990" s="1">
        <f>VLOOKUP(B990,'NOVACART DATA'!$B$2:$N$1001,13,FALSE)</f>
        <v>0</v>
      </c>
    </row>
    <row r="991" spans="1:10">
      <c r="A991" s="2">
        <f>VLOOKUP(B991,CHOOSE({1,2},'NOVACART DATA'!$B$2:$B$1001,'NOVACART DATA'!$A$2:$A$1001),2,FALSE)</f>
        <v>46040</v>
      </c>
      <c r="B991" s="1">
        <v>1415</v>
      </c>
      <c r="C991" s="1">
        <f>VLOOKUP(B991,'NOVACART DATA'!$B$2:$C$1000,2,FALSE)</f>
        <v>125</v>
      </c>
      <c r="D991" s="1">
        <v>21</v>
      </c>
      <c r="E991" s="1" t="str">
        <f>VLOOKUP(B991,'NOVACART DATA'!$B$2:$M$1001,5,FALSE)</f>
        <v>Organic</v>
      </c>
      <c r="F991" s="1">
        <v>1</v>
      </c>
      <c r="G991" s="1">
        <v>49.37</v>
      </c>
      <c r="H991" s="1">
        <v>10</v>
      </c>
      <c r="I991" s="17">
        <f t="shared" si="15"/>
        <v>44.433</v>
      </c>
      <c r="J991" s="1">
        <f>VLOOKUP(B991,'NOVACART DATA'!$B$2:$N$1001,13,FALSE)</f>
        <v>0</v>
      </c>
    </row>
    <row r="992" spans="1:10">
      <c r="A992" s="2">
        <f>VLOOKUP(B992,CHOOSE({1,2},'NOVACART DATA'!$B$2:$B$1001,'NOVACART DATA'!$A$2:$A$1001),2,FALSE)</f>
        <v>46040</v>
      </c>
      <c r="B992" s="1">
        <v>1415</v>
      </c>
      <c r="C992" s="1">
        <f>VLOOKUP(B992,'NOVACART DATA'!$B$2:$C$1000,2,FALSE)</f>
        <v>125</v>
      </c>
      <c r="D992" s="1">
        <v>7</v>
      </c>
      <c r="E992" s="1" t="str">
        <f>VLOOKUP(B992,'NOVACART DATA'!$B$2:$M$1001,5,FALSE)</f>
        <v>Organic</v>
      </c>
      <c r="F992" s="1">
        <v>1</v>
      </c>
      <c r="G992" s="1">
        <v>79.39</v>
      </c>
      <c r="H992" s="1">
        <v>5</v>
      </c>
      <c r="I992" s="17">
        <f t="shared" si="15"/>
        <v>75.420500000000004</v>
      </c>
      <c r="J992" s="1">
        <f>VLOOKUP(B992,'NOVACART DATA'!$B$2:$N$1001,13,FALSE)</f>
        <v>0</v>
      </c>
    </row>
    <row r="993" spans="1:10">
      <c r="A993" s="2">
        <f>VLOOKUP(B993,CHOOSE({1,2},'NOVACART DATA'!$B$2:$B$1001,'NOVACART DATA'!$A$2:$A$1001),2,FALSE)</f>
        <v>46040</v>
      </c>
      <c r="B993" s="1">
        <v>1415</v>
      </c>
      <c r="C993" s="1">
        <f>VLOOKUP(B993,'NOVACART DATA'!$B$2:$C$1000,2,FALSE)</f>
        <v>125</v>
      </c>
      <c r="D993" s="1">
        <v>15</v>
      </c>
      <c r="E993" s="1" t="str">
        <f>VLOOKUP(B993,'NOVACART DATA'!$B$2:$M$1001,5,FALSE)</f>
        <v>Organic</v>
      </c>
      <c r="F993" s="1">
        <v>1</v>
      </c>
      <c r="G993" s="1">
        <v>47.71</v>
      </c>
      <c r="H993" s="1">
        <v>0</v>
      </c>
      <c r="I993" s="17">
        <f t="shared" si="15"/>
        <v>47.71</v>
      </c>
      <c r="J993" s="1">
        <f>VLOOKUP(B993,'NOVACART DATA'!$B$2:$N$1001,13,FALSE)</f>
        <v>0</v>
      </c>
    </row>
    <row r="994" spans="1:10">
      <c r="A994" s="2">
        <f>VLOOKUP(B994,CHOOSE({1,2},'NOVACART DATA'!$B$2:$B$1001,'NOVACART DATA'!$A$2:$A$1001),2,FALSE)</f>
        <v>46040</v>
      </c>
      <c r="B994" s="1">
        <v>1415</v>
      </c>
      <c r="C994" s="1">
        <f>VLOOKUP(B994,'NOVACART DATA'!$B$2:$C$1000,2,FALSE)</f>
        <v>125</v>
      </c>
      <c r="D994" s="1">
        <v>8</v>
      </c>
      <c r="E994" s="1" t="str">
        <f>VLOOKUP(B994,'NOVACART DATA'!$B$2:$M$1001,5,FALSE)</f>
        <v>Organic</v>
      </c>
      <c r="F994" s="1">
        <v>2</v>
      </c>
      <c r="G994" s="1">
        <v>16.72</v>
      </c>
      <c r="H994" s="1">
        <v>10</v>
      </c>
      <c r="I994" s="17">
        <f t="shared" si="15"/>
        <v>30.096</v>
      </c>
      <c r="J994" s="1">
        <f>VLOOKUP(B994,'NOVACART DATA'!$B$2:$N$1001,13,FALSE)</f>
        <v>0</v>
      </c>
    </row>
    <row r="995" spans="1:10">
      <c r="A995" s="2">
        <f>VLOOKUP(B995,CHOOSE({1,2},'NOVACART DATA'!$B$2:$B$1001,'NOVACART DATA'!$A$2:$A$1001),2,FALSE)</f>
        <v>46050</v>
      </c>
      <c r="B995" s="1">
        <v>1439</v>
      </c>
      <c r="C995" s="1">
        <f>VLOOKUP(B995,'NOVACART DATA'!$B$2:$C$1000,2,FALSE)</f>
        <v>125</v>
      </c>
      <c r="D995" s="1">
        <v>11</v>
      </c>
      <c r="E995" s="1" t="str">
        <f>VLOOKUP(B995,'NOVACART DATA'!$B$2:$M$1001,5,FALSE)</f>
        <v>Organic</v>
      </c>
      <c r="F995" s="1">
        <v>2</v>
      </c>
      <c r="G995" s="1">
        <v>58.35</v>
      </c>
      <c r="H995" s="1">
        <v>10</v>
      </c>
      <c r="I995" s="17">
        <f t="shared" si="15"/>
        <v>105.03</v>
      </c>
      <c r="J995" s="1">
        <f>VLOOKUP(B995,'NOVACART DATA'!$B$2:$N$1001,13,FALSE)</f>
        <v>0</v>
      </c>
    </row>
    <row r="996" spans="1:10">
      <c r="A996" s="2">
        <f>VLOOKUP(B996,CHOOSE({1,2},'NOVACART DATA'!$B$2:$B$1001,'NOVACART DATA'!$A$2:$A$1001),2,FALSE)</f>
        <v>46050</v>
      </c>
      <c r="B996" s="1">
        <v>1439</v>
      </c>
      <c r="C996" s="1">
        <f>VLOOKUP(B996,'NOVACART DATA'!$B$2:$C$1000,2,FALSE)</f>
        <v>125</v>
      </c>
      <c r="D996" s="1">
        <v>1</v>
      </c>
      <c r="E996" s="1" t="str">
        <f>VLOOKUP(B996,'NOVACART DATA'!$B$2:$M$1001,5,FALSE)</f>
        <v>Organic</v>
      </c>
      <c r="F996" s="1">
        <v>1</v>
      </c>
      <c r="G996" s="1">
        <v>47.45</v>
      </c>
      <c r="H996" s="1">
        <v>0</v>
      </c>
      <c r="I996" s="17">
        <f t="shared" si="15"/>
        <v>47.45</v>
      </c>
      <c r="J996" s="1">
        <f>VLOOKUP(B996,'NOVACART DATA'!$B$2:$N$1001,13,FALSE)</f>
        <v>0</v>
      </c>
    </row>
    <row r="997" spans="1:10">
      <c r="A997" s="2">
        <f>VLOOKUP(B997,CHOOSE({1,2},'NOVACART DATA'!$B$2:$B$1001,'NOVACART DATA'!$A$2:$A$1001),2,FALSE)</f>
        <v>46050</v>
      </c>
      <c r="B997" s="1">
        <v>1439</v>
      </c>
      <c r="C997" s="1">
        <f>VLOOKUP(B997,'NOVACART DATA'!$B$2:$C$1000,2,FALSE)</f>
        <v>125</v>
      </c>
      <c r="D997" s="1">
        <v>3</v>
      </c>
      <c r="E997" s="1" t="str">
        <f>VLOOKUP(B997,'NOVACART DATA'!$B$2:$M$1001,5,FALSE)</f>
        <v>Organic</v>
      </c>
      <c r="F997" s="1">
        <v>1</v>
      </c>
      <c r="G997" s="1">
        <v>25.47</v>
      </c>
      <c r="H997" s="1">
        <v>10</v>
      </c>
      <c r="I997" s="17">
        <f t="shared" si="15"/>
        <v>22.922999999999998</v>
      </c>
      <c r="J997" s="1">
        <f>VLOOKUP(B997,'NOVACART DATA'!$B$2:$N$1001,13,FALSE)</f>
        <v>0</v>
      </c>
    </row>
    <row r="998" spans="1:10">
      <c r="A998" s="2">
        <f>VLOOKUP(B998,CHOOSE({1,2},'NOVACART DATA'!$B$2:$B$1001,'NOVACART DATA'!$A$2:$A$1001),2,FALSE)</f>
        <v>46069</v>
      </c>
      <c r="B998" s="1">
        <v>1493</v>
      </c>
      <c r="C998" s="1">
        <f>VLOOKUP(B998,'NOVACART DATA'!$B$2:$C$1000,2,FALSE)</f>
        <v>125</v>
      </c>
      <c r="D998" s="1">
        <v>11</v>
      </c>
      <c r="E998" s="1" t="str">
        <f>VLOOKUP(B998,'NOVACART DATA'!$B$2:$M$1001,5,FALSE)</f>
        <v>Organic</v>
      </c>
      <c r="F998" s="1">
        <v>3</v>
      </c>
      <c r="G998" s="1">
        <v>58.35</v>
      </c>
      <c r="H998" s="1">
        <v>10</v>
      </c>
      <c r="I998" s="17">
        <f t="shared" si="15"/>
        <v>157.54500000000002</v>
      </c>
      <c r="J998" s="1">
        <f>VLOOKUP(B998,'NOVACART DATA'!$B$2:$N$1001,13,FALSE)</f>
        <v>0</v>
      </c>
    </row>
    <row r="999" spans="1:10">
      <c r="A999" s="2">
        <f>VLOOKUP(B999,CHOOSE({1,2},'NOVACART DATA'!$B$2:$B$1001,'NOVACART DATA'!$A$2:$A$1001),2,FALSE)</f>
        <v>46080</v>
      </c>
      <c r="B999" s="1">
        <v>1541</v>
      </c>
      <c r="C999" s="1">
        <f>VLOOKUP(B999,'NOVACART DATA'!$B$2:$C$1000,2,FALSE)</f>
        <v>125</v>
      </c>
      <c r="D999" s="1">
        <v>34</v>
      </c>
      <c r="E999" s="1" t="str">
        <f>VLOOKUP(B999,'NOVACART DATA'!$B$2:$M$1001,5,FALSE)</f>
        <v>Organic</v>
      </c>
      <c r="F999" s="1">
        <v>2</v>
      </c>
      <c r="G999" s="1">
        <v>58.26</v>
      </c>
      <c r="H999" s="1">
        <v>5</v>
      </c>
      <c r="I999" s="17">
        <f t="shared" si="15"/>
        <v>110.69399999999999</v>
      </c>
      <c r="J999" s="1">
        <f>VLOOKUP(B999,'NOVACART DATA'!$B$2:$N$1001,13,FALSE)</f>
        <v>0</v>
      </c>
    </row>
    <row r="1000" spans="1:10">
      <c r="A1000" s="2">
        <f>VLOOKUP(B1000,CHOOSE({1,2},'NOVACART DATA'!$B$2:$B$1001,'NOVACART DATA'!$A$2:$A$1001),2,FALSE)</f>
        <v>46081</v>
      </c>
      <c r="B1000" s="1">
        <v>1546</v>
      </c>
      <c r="C1000" s="1">
        <f>VLOOKUP(B1000,'NOVACART DATA'!$B$2:$C$1000,2,FALSE)</f>
        <v>125</v>
      </c>
      <c r="D1000" s="1">
        <v>11</v>
      </c>
      <c r="E1000" s="1" t="str">
        <f>VLOOKUP(B1000,'NOVACART DATA'!$B$2:$M$1001,5,FALSE)</f>
        <v>Organic</v>
      </c>
      <c r="F1000" s="1">
        <v>2</v>
      </c>
      <c r="G1000" s="1">
        <v>58.35</v>
      </c>
      <c r="H1000" s="1">
        <v>25</v>
      </c>
      <c r="I1000" s="17">
        <f t="shared" si="15"/>
        <v>87.525000000000006</v>
      </c>
      <c r="J1000" s="1">
        <f>VLOOKUP(B1000,'NOVACART DATA'!$B$2:$N$1001,13,FALSE)</f>
        <v>0</v>
      </c>
    </row>
    <row r="1001" spans="1:10">
      <c r="A1001" s="2"/>
    </row>
    <row r="1002" spans="1:10">
      <c r="A1002" s="2"/>
    </row>
    <row r="1003" spans="1:10">
      <c r="A1003" s="2"/>
    </row>
    <row r="1004" spans="1:10">
      <c r="A1004" s="2"/>
    </row>
    <row r="1005" spans="1:10">
      <c r="A1005" s="2"/>
    </row>
    <row r="1006" spans="1:10">
      <c r="A1006" s="2"/>
    </row>
    <row r="1007" spans="1:10">
      <c r="A1007" s="2"/>
    </row>
  </sheetData>
  <sortState xmlns:xlrd2="http://schemas.microsoft.com/office/spreadsheetml/2017/richdata2" ref="A2:J1000">
    <sortCondition ref="C1:C100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7213-7650-4401-9B7E-B4C5802ACB22}">
  <sheetPr>
    <tabColor theme="5"/>
  </sheetPr>
  <dimension ref="A1:C41"/>
  <sheetViews>
    <sheetView workbookViewId="0">
      <selection activeCell="F14" sqref="F14"/>
    </sheetView>
  </sheetViews>
  <sheetFormatPr defaultRowHeight="14.4"/>
  <cols>
    <col min="1" max="1" width="12.5546875" style="1" customWidth="1"/>
    <col min="2" max="2" width="17.88671875" style="1" bestFit="1" customWidth="1"/>
    <col min="3" max="3" width="11.6640625" style="1" bestFit="1" customWidth="1"/>
  </cols>
  <sheetData>
    <row r="1" spans="1:3">
      <c r="A1" s="22" t="s">
        <v>199</v>
      </c>
      <c r="B1" s="22" t="s">
        <v>196</v>
      </c>
      <c r="C1" s="22" t="s">
        <v>197</v>
      </c>
    </row>
    <row r="2" spans="1:3">
      <c r="A2" s="1">
        <f>_xlfn.XLOOKUP(B2,'NOVACART DATA'!$H$2:$H$1000,'NOVACART DATA'!$G$2:$G$1000,"Not Found")</f>
        <v>40</v>
      </c>
      <c r="B2" s="1" t="str" cm="1">
        <f t="array" ref="B2:B41">_xlfn._xlws.SORT(_xlfn.UNIQUE('NOVACART DATA'!H2:H1000))</f>
        <v>Art Kit</v>
      </c>
      <c r="C2" s="1" t="str">
        <f>VLOOKUP(B2,'NOVACART DATA'!H2:I1000,2,FALSE)</f>
        <v>Toys</v>
      </c>
    </row>
    <row r="3" spans="1:3">
      <c r="A3" s="1">
        <f>_xlfn.XLOOKUP(B3,'NOVACART DATA'!$H$2:$H$1000,'NOVACART DATA'!$G$2:$G$1000,"Not Found")</f>
        <v>6</v>
      </c>
      <c r="B3" s="1" t="str">
        <v>Beanie</v>
      </c>
      <c r="C3" s="1" t="str">
        <f>VLOOKUP(B3,'NOVACART DATA'!H3:I1001,2,FALSE)</f>
        <v>Apparel</v>
      </c>
    </row>
    <row r="4" spans="1:3">
      <c r="A4" s="1">
        <f>_xlfn.XLOOKUP(B4,'NOVACART DATA'!$H$2:$H$1000,'NOVACART DATA'!$G$2:$G$1000,"Not Found")</f>
        <v>12</v>
      </c>
      <c r="B4" s="1" t="str">
        <v xml:space="preserve">Bluetooth Speaker </v>
      </c>
      <c r="C4" s="1" t="str">
        <f>VLOOKUP(B4,'NOVACART DATA'!H4:I1002,2,FALSE)</f>
        <v>Electronics</v>
      </c>
    </row>
    <row r="5" spans="1:3">
      <c r="A5" s="1">
        <f>_xlfn.XLOOKUP(B5,'NOVACART DATA'!$H$2:$H$1000,'NOVACART DATA'!$G$2:$G$1000,"Not Found")</f>
        <v>38</v>
      </c>
      <c r="B5" s="1" t="str">
        <v>Board Game</v>
      </c>
      <c r="C5" s="1" t="str">
        <f>VLOOKUP(B5,'NOVACART DATA'!H5:I1003,2,FALSE)</f>
        <v>Toys</v>
      </c>
    </row>
    <row r="6" spans="1:3">
      <c r="A6" s="1">
        <f>_xlfn.XLOOKUP(B6,'NOVACART DATA'!$H$2:$H$1000,'NOVACART DATA'!$G$2:$G$1000,"Not Found")</f>
        <v>35</v>
      </c>
      <c r="B6" s="1" t="str">
        <v>Building Blocks</v>
      </c>
      <c r="C6" s="1" t="str">
        <f>VLOOKUP(B6,'NOVACART DATA'!H6:I1004,2,FALSE)</f>
        <v>Toys</v>
      </c>
    </row>
    <row r="7" spans="1:3">
      <c r="A7" s="1">
        <f>_xlfn.XLOOKUP(B7,'NOVACART DATA'!$H$2:$H$1000,'NOVACART DATA'!$G$2:$G$1000,"Not Found")</f>
        <v>17</v>
      </c>
      <c r="B7" s="1" t="str">
        <v>Ceramic Mug</v>
      </c>
      <c r="C7" s="1" t="str">
        <f>VLOOKUP(B7,'NOVACART DATA'!H7:I1005,2,FALSE)</f>
        <v>Home</v>
      </c>
    </row>
    <row r="8" spans="1:3">
      <c r="A8" s="1">
        <f>_xlfn.XLOOKUP(B8,'NOVACART DATA'!$H$2:$H$1000,'NOVACART DATA'!$G$2:$G$1000,"Not Found")</f>
        <v>8</v>
      </c>
      <c r="B8" s="1" t="str">
        <v>Chino Pants</v>
      </c>
      <c r="C8" s="1" t="str">
        <f>VLOOKUP(B8,'NOVACART DATA'!H8:I1006,2,FALSE)</f>
        <v>Apparel</v>
      </c>
    </row>
    <row r="9" spans="1:3">
      <c r="A9" s="1">
        <f>_xlfn.XLOOKUP(B9,'NOVACART DATA'!$H$2:$H$1000,'NOVACART DATA'!$G$2:$G$1000,"Not Found")</f>
        <v>1</v>
      </c>
      <c r="B9" s="1" t="str">
        <v>Crew Tee</v>
      </c>
      <c r="C9" s="1" t="str">
        <f>VLOOKUP(B9,'NOVACART DATA'!H9:I1007,2,FALSE)</f>
        <v>Apparel</v>
      </c>
    </row>
    <row r="10" spans="1:3">
      <c r="A10" s="1">
        <f>_xlfn.XLOOKUP(B10,'NOVACART DATA'!$H$2:$H$1000,'NOVACART DATA'!$G$2:$G$1000,"Not Found")</f>
        <v>19</v>
      </c>
      <c r="B10" s="1" t="str">
        <v>Cutting Board</v>
      </c>
      <c r="C10" s="1" t="str">
        <f>VLOOKUP(B10,'NOVACART DATA'!H10:I1008,2,FALSE)</f>
        <v>Home</v>
      </c>
    </row>
    <row r="11" spans="1:3">
      <c r="A11" s="1">
        <f>_xlfn.XLOOKUP(B11,'NOVACART DATA'!$H$2:$H$1000,'NOVACART DATA'!$G$2:$G$1000,"Not Found")</f>
        <v>3</v>
      </c>
      <c r="B11" s="1" t="str">
        <v>Denim Jacket</v>
      </c>
      <c r="C11" s="1" t="str">
        <f>VLOOKUP(B11,'NOVACART DATA'!H11:I1009,2,FALSE)</f>
        <v>Apparel</v>
      </c>
    </row>
    <row r="12" spans="1:3">
      <c r="A12" s="1">
        <f>_xlfn.XLOOKUP(B12,'NOVACART DATA'!$H$2:$H$1000,'NOVACART DATA'!$G$2:$G$1000,"Not Found")</f>
        <v>32</v>
      </c>
      <c r="B12" s="1" t="str">
        <v>Foam Roller</v>
      </c>
      <c r="C12" s="1" t="str">
        <f>VLOOKUP(B12,'NOVACART DATA'!H12:I1010,2,FALSE)</f>
        <v>Sports</v>
      </c>
    </row>
    <row r="13" spans="1:3">
      <c r="A13" s="1">
        <f>_xlfn.XLOOKUP(B13,'NOVACART DATA'!$H$2:$H$1000,'NOVACART DATA'!$G$2:$G$1000,"Not Found")</f>
        <v>27</v>
      </c>
      <c r="B13" s="1" t="str">
        <v>Hand Cream</v>
      </c>
      <c r="C13" s="1" t="str">
        <f>VLOOKUP(B13,'NOVACART DATA'!H13:I1011,2,FALSE)</f>
        <v>Beauty</v>
      </c>
    </row>
    <row r="14" spans="1:3">
      <c r="A14" s="1">
        <f>_xlfn.XLOOKUP(B14,'NOVACART DATA'!$H$2:$H$1000,'NOVACART DATA'!$G$2:$G$1000,"Not Found")</f>
        <v>2</v>
      </c>
      <c r="B14" s="1" t="str">
        <v>Hoodie</v>
      </c>
      <c r="C14" s="1" t="str">
        <f>VLOOKUP(B14,'NOVACART DATA'!H14:I1012,2,FALSE)</f>
        <v>Apparel</v>
      </c>
    </row>
    <row r="15" spans="1:3">
      <c r="A15" s="1">
        <f>_xlfn.XLOOKUP(B15,'NOVACART DATA'!$H$2:$H$1000,'NOVACART DATA'!$G$2:$G$1000,"Not Found")</f>
        <v>4</v>
      </c>
      <c r="B15" s="1" t="str">
        <v>Joggers</v>
      </c>
      <c r="C15" s="1" t="str">
        <f>VLOOKUP(B15,'NOVACART DATA'!H15:I1013,2,FALSE)</f>
        <v>Apparel</v>
      </c>
    </row>
    <row r="16" spans="1:3">
      <c r="A16" s="1">
        <f>_xlfn.XLOOKUP(B16,'NOVACART DATA'!$H$2:$H$1000,'NOVACART DATA'!$G$2:$G$1000,"Not Found")</f>
        <v>33</v>
      </c>
      <c r="B16" s="1" t="str">
        <v>Jump Rope</v>
      </c>
      <c r="C16" s="1" t="str">
        <f>VLOOKUP(B16,'NOVACART DATA'!H16:I1014,2,FALSE)</f>
        <v>Sports</v>
      </c>
    </row>
    <row r="17" spans="1:3">
      <c r="A17" s="1">
        <f>_xlfn.XLOOKUP(B17,'NOVACART DATA'!$H$2:$H$1000,'NOVACART DATA'!$G$2:$G$1000,"Not Found")</f>
        <v>18</v>
      </c>
      <c r="B17" s="1" t="str">
        <v>LED Lamp</v>
      </c>
      <c r="C17" s="1" t="str">
        <f>VLOOKUP(B17,'NOVACART DATA'!H17:I1015,2,FALSE)</f>
        <v>Home</v>
      </c>
    </row>
    <row r="18" spans="1:3">
      <c r="A18" s="1">
        <f>_xlfn.XLOOKUP(B18,'NOVACART DATA'!$H$2:$H$1000,'NOVACART DATA'!$G$2:$G$1000,"Not Found")</f>
        <v>24</v>
      </c>
      <c r="B18" s="1" t="str">
        <v>Lip Balm</v>
      </c>
      <c r="C18" s="1" t="str">
        <f>VLOOKUP(B18,'NOVACART DATA'!H18:I1016,2,FALSE)</f>
        <v>Beauty</v>
      </c>
    </row>
    <row r="19" spans="1:3">
      <c r="A19" s="1">
        <f>_xlfn.XLOOKUP(B19,'NOVACART DATA'!$H$2:$H$1000,'NOVACART DATA'!$G$2:$G$1000,"Not Found")</f>
        <v>11</v>
      </c>
      <c r="B19" s="1" t="str">
        <v>Phone Case</v>
      </c>
      <c r="C19" s="1" t="str">
        <f>VLOOKUP(B19,'NOVACART DATA'!H19:I1017,2,FALSE)</f>
        <v>Electronics</v>
      </c>
    </row>
    <row r="20" spans="1:3">
      <c r="A20" s="1">
        <f>_xlfn.XLOOKUP(B20,'NOVACART DATA'!$H$2:$H$1000,'NOVACART DATA'!$G$2:$G$1000,"Not Found")</f>
        <v>37</v>
      </c>
      <c r="B20" s="1" t="str">
        <v>Plush Bear</v>
      </c>
      <c r="C20" s="1" t="str">
        <f>VLOOKUP(B20,'NOVACART DATA'!H20:I1018,2,FALSE)</f>
        <v>Toys</v>
      </c>
    </row>
    <row r="21" spans="1:3">
      <c r="A21" s="1">
        <f>_xlfn.XLOOKUP(B21,'NOVACART DATA'!$H$2:$H$1000,'NOVACART DATA'!$G$2:$G$1000,"Not Found")</f>
        <v>14</v>
      </c>
      <c r="B21" s="1" t="str">
        <v>Power Bank</v>
      </c>
      <c r="C21" s="1" t="str">
        <f>VLOOKUP(B21,'NOVACART DATA'!H21:I1019,2,FALSE)</f>
        <v>Electronics</v>
      </c>
    </row>
    <row r="22" spans="1:3">
      <c r="A22" s="1">
        <f>_xlfn.XLOOKUP(B22,'NOVACART DATA'!$H$2:$H$1000,'NOVACART DATA'!$G$2:$G$1000,"Not Found")</f>
        <v>36</v>
      </c>
      <c r="B22" s="1" t="str">
        <v>Puzzle 500pc</v>
      </c>
      <c r="C22" s="1" t="str">
        <f>VLOOKUP(B22,'NOVACART DATA'!H22:I1020,2,FALSE)</f>
        <v>Toys</v>
      </c>
    </row>
    <row r="23" spans="1:3">
      <c r="A23" s="1">
        <f>_xlfn.XLOOKUP(B23,'NOVACART DATA'!$H$2:$H$1000,'NOVACART DATA'!$G$2:$G$1000,"Not Found")</f>
        <v>7</v>
      </c>
      <c r="B23" s="1" t="str">
        <v>Rain Shell</v>
      </c>
      <c r="C23" s="1" t="str">
        <f>VLOOKUP(B23,'NOVACART DATA'!H23:I1021,2,FALSE)</f>
        <v>Apparel</v>
      </c>
    </row>
    <row r="24" spans="1:3">
      <c r="A24" s="1">
        <f>_xlfn.XLOOKUP(B24,'NOVACART DATA'!$H$2:$H$1000,'NOVACART DATA'!$G$2:$G$1000,"Not Found")</f>
        <v>39</v>
      </c>
      <c r="B24" s="1" t="str">
        <v>RC Car</v>
      </c>
      <c r="C24" s="1" t="str">
        <f>VLOOKUP(B24,'NOVACART DATA'!H24:I1022,2,FALSE)</f>
        <v>Toys</v>
      </c>
    </row>
    <row r="25" spans="1:3">
      <c r="A25" s="1">
        <f>_xlfn.XLOOKUP(B25,'NOVACART DATA'!$H$2:$H$1000,'NOVACART DATA'!$G$2:$G$1000,"Not Found")</f>
        <v>31</v>
      </c>
      <c r="B25" s="1" t="str">
        <v>Resistance Bands</v>
      </c>
      <c r="C25" s="1" t="str">
        <f>VLOOKUP(B25,'NOVACART DATA'!H25:I1023,2,FALSE)</f>
        <v>Sports</v>
      </c>
    </row>
    <row r="26" spans="1:3">
      <c r="A26" s="1">
        <f>_xlfn.XLOOKUP(B26,'NOVACART DATA'!$H$2:$H$1000,'NOVACART DATA'!$G$2:$G$1000,"Not Found")</f>
        <v>34</v>
      </c>
      <c r="B26" s="1" t="str">
        <v>Running Belt</v>
      </c>
      <c r="C26" s="1" t="str">
        <f>VLOOKUP(B26,'NOVACART DATA'!H26:I1024,2,FALSE)</f>
        <v>Sports</v>
      </c>
    </row>
    <row r="27" spans="1:3">
      <c r="A27" s="1">
        <f>_xlfn.XLOOKUP(B27,'NOVACART DATA'!$H$2:$H$1000,'NOVACART DATA'!$G$2:$G$1000,"Not Found")</f>
        <v>22</v>
      </c>
      <c r="B27" s="1" t="str">
        <v>Scented Candle</v>
      </c>
      <c r="C27" s="1" t="str">
        <f>VLOOKUP(B27,'NOVACART DATA'!H27:I1025,2,FALSE)</f>
        <v>Home</v>
      </c>
    </row>
    <row r="28" spans="1:3">
      <c r="A28" s="1">
        <f>_xlfn.XLOOKUP(B28,'NOVACART DATA'!$H$2:$H$1000,'NOVACART DATA'!$G$2:$G$1000,"Not Found")</f>
        <v>26</v>
      </c>
      <c r="B28" s="1" t="str">
        <v>Shampoo Bar</v>
      </c>
      <c r="C28" s="1" t="str">
        <f>VLOOKUP(B28,'NOVACART DATA'!H28:I1026,2,FALSE)</f>
        <v>Beauty</v>
      </c>
    </row>
    <row r="29" spans="1:3">
      <c r="A29" s="1">
        <f>_xlfn.XLOOKUP(B29,'NOVACART DATA'!$H$2:$H$1000,'NOVACART DATA'!$G$2:$G$1000,"Not Found")</f>
        <v>25</v>
      </c>
      <c r="B29" s="1" t="str">
        <v xml:space="preserve">Sheet Mask </v>
      </c>
      <c r="C29" s="1" t="str">
        <f>VLOOKUP(B29,'NOVACART DATA'!H29:I1027,2,FALSE)</f>
        <v>Beauty</v>
      </c>
    </row>
    <row r="30" spans="1:3">
      <c r="A30" s="1">
        <f>_xlfn.XLOOKUP(B30,'NOVACART DATA'!$H$2:$H$1000,'NOVACART DATA'!$G$2:$G$1000,"Not Found")</f>
        <v>15</v>
      </c>
      <c r="B30" s="1" t="str">
        <v>Smart Plug</v>
      </c>
      <c r="C30" s="1" t="str">
        <f>VLOOKUP(B30,'NOVACART DATA'!H30:I1028,2,FALSE)</f>
        <v>Electronics</v>
      </c>
    </row>
    <row r="31" spans="1:3">
      <c r="A31" s="1">
        <f>_xlfn.XLOOKUP(B31,'NOVACART DATA'!$H$2:$H$1000,'NOVACART DATA'!$G$2:$G$1000,"Not Found")</f>
        <v>5</v>
      </c>
      <c r="B31" s="1" t="str">
        <v>Socks 3-Pack</v>
      </c>
      <c r="C31" s="1" t="str">
        <f>VLOOKUP(B31,'NOVACART DATA'!H31:I1029,2,FALSE)</f>
        <v>Apparel</v>
      </c>
    </row>
    <row r="32" spans="1:3">
      <c r="A32" s="1">
        <f>_xlfn.XLOOKUP(B32,'NOVACART DATA'!$H$2:$H$1000,'NOVACART DATA'!$G$2:$G$1000,"Not Found")</f>
        <v>28</v>
      </c>
      <c r="B32" s="1" t="str">
        <v>SPF 50 Lotion</v>
      </c>
      <c r="C32" s="1" t="str">
        <f>VLOOKUP(B32,'NOVACART DATA'!H32:I1030,2,FALSE)</f>
        <v>Beauty</v>
      </c>
    </row>
    <row r="33" spans="1:3">
      <c r="A33" s="1">
        <f>_xlfn.XLOOKUP(B33,'NOVACART DATA'!$H$2:$H$1000,'NOVACART DATA'!$G$2:$G$1000,"Not Found")</f>
        <v>21</v>
      </c>
      <c r="B33" s="1" t="str">
        <v>Storage Bin</v>
      </c>
      <c r="C33" s="1" t="str">
        <f>VLOOKUP(B33,'NOVACART DATA'!H33:I1031,2,FALSE)</f>
        <v>Home</v>
      </c>
    </row>
    <row r="34" spans="1:3">
      <c r="A34" s="1">
        <f>_xlfn.XLOOKUP(B34,'NOVACART DATA'!$H$2:$H$1000,'NOVACART DATA'!$G$2:$G$1000,"Not Found")</f>
        <v>16</v>
      </c>
      <c r="B34" s="1" t="str">
        <v>Throw Pillow</v>
      </c>
      <c r="C34" s="1" t="str">
        <f>VLOOKUP(B34,'NOVACART DATA'!H34:I1032,2,FALSE)</f>
        <v>Home</v>
      </c>
    </row>
    <row r="35" spans="1:3">
      <c r="A35" s="1">
        <f>_xlfn.XLOOKUP(B35,'NOVACART DATA'!$H$2:$H$1000,'NOVACART DATA'!$G$2:$G$1000,"Not Found")</f>
        <v>20</v>
      </c>
      <c r="B35" s="1" t="str">
        <v>Towel Set</v>
      </c>
      <c r="C35" s="1" t="str">
        <f>VLOOKUP(B35,'NOVACART DATA'!H35:I1033,2,FALSE)</f>
        <v>Home</v>
      </c>
    </row>
    <row r="36" spans="1:3">
      <c r="A36" s="1">
        <f>_xlfn.XLOOKUP(B36,'NOVACART DATA'!$H$2:$H$1000,'NOVACART DATA'!$G$2:$G$1000,"Not Found")</f>
        <v>10</v>
      </c>
      <c r="B36" s="1" t="str">
        <v>USB-C Cable</v>
      </c>
      <c r="C36" s="1" t="str">
        <f>VLOOKUP(B36,'NOVACART DATA'!H36:I1034,2,FALSE)</f>
        <v>Electronics</v>
      </c>
    </row>
    <row r="37" spans="1:3">
      <c r="A37" s="1">
        <f>_xlfn.XLOOKUP(B37,'NOVACART DATA'!$H$2:$H$1000,'NOVACART DATA'!$G$2:$G$1000,"Not Found")</f>
        <v>23</v>
      </c>
      <c r="B37" s="1" t="str">
        <v>Vitamin C Serum</v>
      </c>
      <c r="C37" s="1" t="str">
        <f>VLOOKUP(B37,'NOVACART DATA'!H37:I1035,2,FALSE)</f>
        <v>Beauty</v>
      </c>
    </row>
    <row r="38" spans="1:3">
      <c r="A38" s="1">
        <f>_xlfn.XLOOKUP(B38,'NOVACART DATA'!$H$2:$H$1000,'NOVACART DATA'!$G$2:$G$1000,"Not Found")</f>
        <v>30</v>
      </c>
      <c r="B38" s="1" t="str">
        <v>Water Bottle</v>
      </c>
      <c r="C38" s="1" t="str">
        <f>VLOOKUP(B38,'NOVACART DATA'!H38:I1036,2,FALSE)</f>
        <v>Sports</v>
      </c>
    </row>
    <row r="39" spans="1:3">
      <c r="A39" s="1">
        <f>_xlfn.XLOOKUP(B39,'NOVACART DATA'!$H$2:$H$1000,'NOVACART DATA'!$G$2:$G$1000,"Not Found")</f>
        <v>13</v>
      </c>
      <c r="B39" s="1" t="str">
        <v>Webcam</v>
      </c>
      <c r="C39" s="1" t="str">
        <f>VLOOKUP(B39,'NOVACART DATA'!H39:I1037,2,FALSE)</f>
        <v>Electronics</v>
      </c>
    </row>
    <row r="40" spans="1:3">
      <c r="A40" s="1">
        <f>_xlfn.XLOOKUP(B40,'NOVACART DATA'!$H$2:$H$1000,'NOVACART DATA'!$G$2:$G$1000,"Not Found")</f>
        <v>9</v>
      </c>
      <c r="B40" s="1" t="str">
        <v>Wireless Earbuds</v>
      </c>
      <c r="C40" s="1" t="str">
        <f>VLOOKUP(B40,'NOVACART DATA'!H40:I1038,2,FALSE)</f>
        <v>Electronics</v>
      </c>
    </row>
    <row r="41" spans="1:3">
      <c r="A41" s="1">
        <f>_xlfn.XLOOKUP(B41,'NOVACART DATA'!$H$2:$H$1000,'NOVACART DATA'!$G$2:$G$1000,"Not Found")</f>
        <v>29</v>
      </c>
      <c r="B41" s="1" t="str">
        <v>Yoga Mat</v>
      </c>
      <c r="C41" s="1" t="str">
        <f>VLOOKUP(B41,'NOVACART DATA'!H41:I1039,2,FALSE)</f>
        <v>Sports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502F6-C8BF-4037-99AD-336A77AB2981}">
  <dimension ref="A1:P66"/>
  <sheetViews>
    <sheetView zoomScaleNormal="100" workbookViewId="0">
      <selection activeCell="O16" sqref="O16"/>
    </sheetView>
  </sheetViews>
  <sheetFormatPr defaultRowHeight="14.4"/>
  <cols>
    <col min="1" max="1" width="26.44140625" style="7" bestFit="1" customWidth="1"/>
    <col min="2" max="2" width="5.5546875" bestFit="1" customWidth="1"/>
    <col min="3" max="3" width="4.6640625" customWidth="1"/>
    <col min="4" max="4" width="16" bestFit="1" customWidth="1"/>
    <col min="5" max="5" width="7" bestFit="1" customWidth="1"/>
    <col min="6" max="6" width="10" bestFit="1" customWidth="1"/>
    <col min="8" max="8" width="19.109375" bestFit="1" customWidth="1"/>
    <col min="9" max="9" width="12.5546875" bestFit="1" customWidth="1"/>
    <col min="10" max="10" width="7.6640625" bestFit="1" customWidth="1"/>
    <col min="11" max="11" width="10.5546875" bestFit="1" customWidth="1"/>
    <col min="12" max="12" width="4" bestFit="1" customWidth="1"/>
    <col min="13" max="13" width="6.21875" bestFit="1" customWidth="1"/>
    <col min="14" max="14" width="6.6640625" bestFit="1" customWidth="1"/>
    <col min="15" max="15" width="23.33203125" customWidth="1"/>
    <col min="16" max="16" width="2" bestFit="1" customWidth="1"/>
    <col min="17" max="25" width="3" bestFit="1" customWidth="1"/>
    <col min="26" max="26" width="11" bestFit="1" customWidth="1"/>
  </cols>
  <sheetData>
    <row r="1" spans="1:16">
      <c r="A1" s="6" t="s">
        <v>210</v>
      </c>
      <c r="B1" s="3">
        <f>MODE('NOVACART DATA'!B2:B1000)</f>
        <v>1044</v>
      </c>
      <c r="D1" s="18" t="s">
        <v>216</v>
      </c>
      <c r="E1" s="18"/>
      <c r="F1" s="18"/>
      <c r="K1" s="18" t="s">
        <v>224</v>
      </c>
      <c r="L1" s="18"/>
      <c r="M1" s="18"/>
    </row>
    <row r="2" spans="1:16">
      <c r="A2" s="6" t="s">
        <v>211</v>
      </c>
      <c r="B2" s="3">
        <f>MODE('NOVACART DATA'!J2:J1000)</f>
        <v>1</v>
      </c>
      <c r="D2" s="1" t="s">
        <v>217</v>
      </c>
      <c r="E2" s="1" t="s">
        <v>218</v>
      </c>
      <c r="F2" s="1" t="s">
        <v>219</v>
      </c>
      <c r="H2" s="8" t="s">
        <v>221</v>
      </c>
      <c r="I2" t="s">
        <v>222</v>
      </c>
      <c r="O2" t="s">
        <v>225</v>
      </c>
      <c r="P2">
        <f>MODE('NOVACART DATA'!N2:N1000)</f>
        <v>0</v>
      </c>
    </row>
    <row r="3" spans="1:16">
      <c r="A3" s="6" t="s">
        <v>212</v>
      </c>
      <c r="B3" s="4">
        <f>AVERAGE('NOVACART DATA'!K2:K1000)</f>
        <v>38.842612612612534</v>
      </c>
      <c r="D3" s="1" t="str" cm="1">
        <f t="array" ref="D3:D42">_xlfn.UNIQUE('NOVACART DATA'!H2:H1000)</f>
        <v>Resistance Bands</v>
      </c>
      <c r="E3" s="1">
        <f>COUNTIF('NOVACART DATA'!$H$2:$H$1000,D3)</f>
        <v>29</v>
      </c>
      <c r="F3" s="1" t="str">
        <f>VLOOKUP(D3,'NOVACART DATA'!$H$1:$I$1000,2,FALSE)</f>
        <v>Sports</v>
      </c>
      <c r="H3" s="7" t="s">
        <v>21</v>
      </c>
      <c r="I3">
        <v>37</v>
      </c>
      <c r="K3" s="7" t="str" cm="1">
        <f t="array" ref="K3:K8">_xlfn.UNIQUE('NOVACART DATA'!F2:F1000)</f>
        <v>Direct</v>
      </c>
      <c r="L3">
        <f>COUNTIF('NOVACART DATA'!$F$2:$F$1000,CALC!K3)</f>
        <v>116</v>
      </c>
    </row>
    <row r="4" spans="1:16">
      <c r="A4" s="6" t="s">
        <v>213</v>
      </c>
      <c r="B4" s="5">
        <f>AVERAGE('NOVACART DATA'!L2:L1000)</f>
        <v>5.5015015015015019</v>
      </c>
      <c r="D4" s="1" t="str">
        <v>Ceramic Mug</v>
      </c>
      <c r="E4" s="1">
        <f>COUNTIF('NOVACART DATA'!$H$2:$H$1000,D4)</f>
        <v>23</v>
      </c>
      <c r="F4" s="1" t="str">
        <f>VLOOKUP(D4,'NOVACART DATA'!$H$1:$I$1000,2,FALSE)</f>
        <v>Home</v>
      </c>
      <c r="H4" s="9" t="s">
        <v>99</v>
      </c>
      <c r="I4">
        <v>20</v>
      </c>
      <c r="K4" s="15" t="str">
        <v>Organic</v>
      </c>
      <c r="L4" s="11">
        <f>COUNTIF('NOVACART DATA'!$F$2:$F$1000,CALC!K4)</f>
        <v>272</v>
      </c>
    </row>
    <row r="5" spans="1:16">
      <c r="A5" s="6"/>
      <c r="B5" s="5"/>
      <c r="D5" s="1" t="str">
        <v>Art Kit</v>
      </c>
      <c r="E5" s="1">
        <f>COUNTIF('NOVACART DATA'!$H$2:$H$1000,D5)</f>
        <v>32</v>
      </c>
      <c r="F5" s="1" t="str">
        <f>VLOOKUP(D5,'NOVACART DATA'!$H$1:$I$1000,2,FALSE)</f>
        <v>Toys</v>
      </c>
      <c r="H5" s="9" t="s">
        <v>84</v>
      </c>
      <c r="I5">
        <v>27</v>
      </c>
      <c r="K5" s="7" t="str">
        <v>Email</v>
      </c>
      <c r="L5">
        <f>COUNTIF('NOVACART DATA'!$F$2:$F$1000,CALC!K5)</f>
        <v>221</v>
      </c>
    </row>
    <row r="6" spans="1:16">
      <c r="B6" s="1"/>
      <c r="D6" s="1" t="str">
        <v>Phone Case</v>
      </c>
      <c r="E6" s="1">
        <f>COUNTIF('NOVACART DATA'!$H$2:$H$1000,D6)</f>
        <v>24</v>
      </c>
      <c r="F6" s="1" t="str">
        <f>VLOOKUP(D6,'NOVACART DATA'!$H$1:$I$1000,2,FALSE)</f>
        <v>Electronics</v>
      </c>
      <c r="H6" s="9" t="s">
        <v>20</v>
      </c>
      <c r="I6">
        <v>18</v>
      </c>
      <c r="K6" s="7" t="str">
        <v>Paid Search</v>
      </c>
      <c r="L6">
        <f>COUNTIF('NOVACART DATA'!$F$2:$F$1000,CALC!K6)</f>
        <v>173</v>
      </c>
    </row>
    <row r="7" spans="1:16">
      <c r="D7" s="1" t="str">
        <v>Towel Set</v>
      </c>
      <c r="E7" s="1">
        <f>COUNTIF('NOVACART DATA'!$H$2:$H$1000,D7)</f>
        <v>29</v>
      </c>
      <c r="F7" s="1" t="str">
        <f>VLOOKUP(D7,'NOVACART DATA'!$H$1:$I$1000,2,FALSE)</f>
        <v>Home</v>
      </c>
      <c r="H7" s="9" t="s">
        <v>59</v>
      </c>
      <c r="I7">
        <v>21</v>
      </c>
      <c r="K7" s="7" t="str">
        <v>Social</v>
      </c>
      <c r="L7">
        <f>COUNTIF('NOVACART DATA'!$F$2:$F$1000,CALC!K7)</f>
        <v>111</v>
      </c>
    </row>
    <row r="8" spans="1:16">
      <c r="D8" s="1" t="str">
        <v>Chino Pants</v>
      </c>
      <c r="E8" s="1">
        <f>COUNTIF('NOVACART DATA'!$H$2:$H$1000,D8)</f>
        <v>27</v>
      </c>
      <c r="F8" s="1" t="str">
        <f>VLOOKUP(D8,'NOVACART DATA'!$H$1:$I$1000,2,FALSE)</f>
        <v>Apparel</v>
      </c>
      <c r="H8" s="9" t="s">
        <v>80</v>
      </c>
      <c r="I8">
        <v>22</v>
      </c>
      <c r="K8" s="7" t="str">
        <v>Referral</v>
      </c>
      <c r="L8">
        <f>COUNTIF('NOVACART DATA'!$F$2:$F$1000,CALC!K8)</f>
        <v>106</v>
      </c>
    </row>
    <row r="9" spans="1:16">
      <c r="D9" s="1" t="str">
        <v>Beanie</v>
      </c>
      <c r="E9" s="1">
        <f>COUNTIF('NOVACART DATA'!$H$2:$H$1000,D9)</f>
        <v>20</v>
      </c>
      <c r="F9" s="1" t="str">
        <f>VLOOKUP(D9,'NOVACART DATA'!$H$1:$I$1000,2,FALSE)</f>
        <v>Apparel</v>
      </c>
      <c r="H9" s="10" t="s">
        <v>92</v>
      </c>
      <c r="I9" s="11">
        <v>37</v>
      </c>
      <c r="K9" s="7"/>
      <c r="L9">
        <f>COUNTIF('NOVACART DATA'!$F$2:$F$1000,CALC!K9)</f>
        <v>0</v>
      </c>
    </row>
    <row r="10" spans="1:16">
      <c r="D10" s="1" t="str">
        <v>LED Lamp</v>
      </c>
      <c r="E10" s="1">
        <f>COUNTIF('NOVACART DATA'!$H$2:$H$1000,D10)</f>
        <v>33</v>
      </c>
      <c r="F10" s="1" t="str">
        <f>VLOOKUP(D10,'NOVACART DATA'!$H$1:$I$1000,2,FALSE)</f>
        <v>Home</v>
      </c>
      <c r="H10" s="9" t="s">
        <v>46</v>
      </c>
      <c r="I10">
        <v>21</v>
      </c>
      <c r="K10" s="7"/>
    </row>
    <row r="11" spans="1:16">
      <c r="D11" s="1" t="str">
        <v>Lip Balm</v>
      </c>
      <c r="E11" s="1">
        <f>COUNTIF('NOVACART DATA'!$H$2:$H$1000,D11)</f>
        <v>26</v>
      </c>
      <c r="F11" s="1" t="str">
        <f>VLOOKUP(D11,'NOVACART DATA'!$H$1:$I$1000,2,FALSE)</f>
        <v>Beauty</v>
      </c>
      <c r="H11" s="9" t="s">
        <v>38</v>
      </c>
      <c r="I11">
        <v>24</v>
      </c>
    </row>
    <row r="12" spans="1:16">
      <c r="D12" s="1" t="str">
        <v>Puzzle 500pc</v>
      </c>
      <c r="E12" s="1">
        <f>COUNTIF('NOVACART DATA'!$H$2:$H$1000,D12)</f>
        <v>32</v>
      </c>
      <c r="F12" s="1" t="str">
        <f>VLOOKUP(D12,'NOVACART DATA'!$H$1:$I$1000,2,FALSE)</f>
        <v>Toys</v>
      </c>
      <c r="H12" s="7" t="s">
        <v>37</v>
      </c>
      <c r="I12">
        <v>37</v>
      </c>
    </row>
    <row r="13" spans="1:16">
      <c r="D13" s="1" t="str">
        <v>Socks 3-Pack</v>
      </c>
      <c r="E13" s="1">
        <f>COUNTIF('NOVACART DATA'!$H$2:$H$1000,D13)</f>
        <v>24</v>
      </c>
      <c r="F13" s="1" t="str">
        <f>VLOOKUP(D13,'NOVACART DATA'!$H$1:$I$1000,2,FALSE)</f>
        <v>Apparel</v>
      </c>
      <c r="H13" s="9" t="s">
        <v>89</v>
      </c>
      <c r="I13">
        <v>21</v>
      </c>
    </row>
    <row r="14" spans="1:16">
      <c r="D14" s="1" t="str">
        <v>Throw Pillow</v>
      </c>
      <c r="E14" s="1">
        <f>COUNTIF('NOVACART DATA'!$H$2:$H$1000,D14)</f>
        <v>17</v>
      </c>
      <c r="F14" s="1" t="str">
        <f>VLOOKUP(D14,'NOVACART DATA'!$H$1:$I$1000,2,FALSE)</f>
        <v>Home</v>
      </c>
      <c r="H14" s="9" t="s">
        <v>44</v>
      </c>
      <c r="I14">
        <v>26</v>
      </c>
    </row>
    <row r="15" spans="1:16">
      <c r="D15" s="1" t="str">
        <v>Scented Candle</v>
      </c>
      <c r="E15" s="1">
        <f>COUNTIF('NOVACART DATA'!$H$2:$H$1000,D15)</f>
        <v>19</v>
      </c>
      <c r="F15" s="1" t="str">
        <f>VLOOKUP(D15,'NOVACART DATA'!$H$1:$I$1000,2,FALSE)</f>
        <v>Home</v>
      </c>
      <c r="H15" s="9" t="s">
        <v>83</v>
      </c>
      <c r="I15">
        <v>22</v>
      </c>
    </row>
    <row r="16" spans="1:16">
      <c r="D16" s="1" t="str">
        <v>RC Car</v>
      </c>
      <c r="E16" s="1">
        <f>COUNTIF('NOVACART DATA'!$H$2:$H$1000,D16)</f>
        <v>36</v>
      </c>
      <c r="F16" s="1" t="str">
        <f>VLOOKUP(D16,'NOVACART DATA'!$H$1:$I$1000,2,FALSE)</f>
        <v>Toys</v>
      </c>
      <c r="H16" s="9" t="s">
        <v>214</v>
      </c>
      <c r="I16">
        <v>21</v>
      </c>
    </row>
    <row r="17" spans="4:9">
      <c r="D17" s="1" t="str">
        <v>Shampoo Bar</v>
      </c>
      <c r="E17" s="1">
        <f>COUNTIF('NOVACART DATA'!$H$2:$H$1000,D17)</f>
        <v>22</v>
      </c>
      <c r="F17" s="1" t="str">
        <f>VLOOKUP(D17,'NOVACART DATA'!$H$1:$I$1000,2,FALSE)</f>
        <v>Beauty</v>
      </c>
      <c r="H17" s="9" t="s">
        <v>51</v>
      </c>
      <c r="I17">
        <v>27</v>
      </c>
    </row>
    <row r="18" spans="4:9">
      <c r="D18" s="1" t="str">
        <v>Smart Plug</v>
      </c>
      <c r="E18" s="1">
        <f>COUNTIF('NOVACART DATA'!$H$2:$H$1000,D18)</f>
        <v>25</v>
      </c>
      <c r="F18" s="1" t="str">
        <f>VLOOKUP(D18,'NOVACART DATA'!$H$1:$I$1000,2,FALSE)</f>
        <v>Electronics</v>
      </c>
      <c r="H18" s="10" t="s">
        <v>98</v>
      </c>
      <c r="I18" s="11">
        <v>37</v>
      </c>
    </row>
    <row r="19" spans="4:9">
      <c r="D19" s="1" t="str">
        <v>Yoga Mat</v>
      </c>
      <c r="E19" s="1">
        <f>COUNTIF('NOVACART DATA'!$H$2:$H$1000,D19)</f>
        <v>18</v>
      </c>
      <c r="F19" s="1" t="str">
        <f>VLOOKUP(D19,'NOVACART DATA'!$H$1:$I$1000,2,FALSE)</f>
        <v>Sports</v>
      </c>
      <c r="H19" s="7" t="s">
        <v>33</v>
      </c>
      <c r="I19">
        <v>27</v>
      </c>
    </row>
    <row r="20" spans="4:9">
      <c r="D20" s="1" t="str">
        <v>Storage Bin</v>
      </c>
      <c r="E20" s="1">
        <f>COUNTIF('NOVACART DATA'!$H$2:$H$1000,D20)</f>
        <v>24</v>
      </c>
      <c r="F20" s="1" t="str">
        <f>VLOOKUP(D20,'NOVACART DATA'!$H$1:$I$1000,2,FALSE)</f>
        <v>Home</v>
      </c>
      <c r="H20" s="9" t="s">
        <v>215</v>
      </c>
      <c r="I20">
        <v>25</v>
      </c>
    </row>
    <row r="21" spans="4:9">
      <c r="D21" s="1" t="str">
        <v>Rain Shell</v>
      </c>
      <c r="E21" s="1">
        <f>COUNTIF('NOVACART DATA'!$H$2:$H$1000,D21)</f>
        <v>21</v>
      </c>
      <c r="F21" s="1" t="str">
        <f>VLOOKUP(D21,'NOVACART DATA'!$H$1:$I$1000,2,FALSE)</f>
        <v>Apparel</v>
      </c>
      <c r="H21" s="9" t="s">
        <v>65</v>
      </c>
      <c r="I21">
        <v>24</v>
      </c>
    </row>
    <row r="22" spans="4:9">
      <c r="D22" s="1" t="str">
        <v xml:space="preserve">Sheet Mask </v>
      </c>
      <c r="E22" s="1">
        <f>COUNTIF('NOVACART DATA'!$H$2:$H$1000,D22)</f>
        <v>21</v>
      </c>
      <c r="F22" s="1" t="str">
        <f>VLOOKUP(D22,'NOVACART DATA'!$H$1:$I$1000,2,FALSE)</f>
        <v>Beauty</v>
      </c>
      <c r="H22" s="9" t="s">
        <v>105</v>
      </c>
      <c r="I22">
        <v>17</v>
      </c>
    </row>
    <row r="23" spans="4:9">
      <c r="D23" s="1" t="str">
        <v>Vitamin C Serum</v>
      </c>
      <c r="E23" s="1">
        <f>COUNTIF('NOVACART DATA'!$H$2:$H$1000,D23)</f>
        <v>37</v>
      </c>
      <c r="F23" s="1" t="str">
        <f>VLOOKUP(D23,'NOVACART DATA'!$H$1:$I$1000,2,FALSE)</f>
        <v>Beauty</v>
      </c>
      <c r="H23" s="9" t="s">
        <v>48</v>
      </c>
      <c r="I23">
        <v>25</v>
      </c>
    </row>
    <row r="24" spans="4:9">
      <c r="D24" s="1" t="str">
        <v>Webcam</v>
      </c>
      <c r="E24" s="1">
        <f>COUNTIF('NOVACART DATA'!$H$2:$H$1000,D24)</f>
        <v>25</v>
      </c>
      <c r="F24" s="1" t="str">
        <f>VLOOKUP(D24,'NOVACART DATA'!$H$1:$I$1000,2,FALSE)</f>
        <v>Electronics</v>
      </c>
      <c r="H24" s="9" t="s">
        <v>32</v>
      </c>
      <c r="I24">
        <v>16</v>
      </c>
    </row>
    <row r="25" spans="4:9">
      <c r="D25" s="1" t="str">
        <v>Jump Rope</v>
      </c>
      <c r="E25" s="1">
        <f>COUNTIF('NOVACART DATA'!$H$2:$H$1000,D25)</f>
        <v>22</v>
      </c>
      <c r="F25" s="1" t="str">
        <f>VLOOKUP(D25,'NOVACART DATA'!$H$1:$I$1000,2,FALSE)</f>
        <v>Sports</v>
      </c>
      <c r="H25" s="9" t="s">
        <v>45</v>
      </c>
      <c r="I25">
        <v>25</v>
      </c>
    </row>
    <row r="26" spans="4:9">
      <c r="D26" s="1" t="str">
        <v xml:space="preserve">Bluetooth Speaker </v>
      </c>
      <c r="E26" s="1">
        <f>COUNTIF('NOVACART DATA'!$H$2:$H$1000,D26)</f>
        <v>25</v>
      </c>
      <c r="F26" s="1" t="str">
        <f>VLOOKUP(D26,'NOVACART DATA'!$H$1:$I$1000,2,FALSE)</f>
        <v>Electronics</v>
      </c>
      <c r="H26" s="10" t="s">
        <v>69</v>
      </c>
      <c r="I26" s="11">
        <v>27</v>
      </c>
    </row>
    <row r="27" spans="4:9">
      <c r="D27" s="1" t="str">
        <v>SPF 50 Lotion</v>
      </c>
      <c r="E27" s="1">
        <f>COUNTIF('NOVACART DATA'!$H$2:$H$1000,D27)</f>
        <v>27</v>
      </c>
      <c r="F27" s="1" t="str">
        <f>VLOOKUP(D27,'NOVACART DATA'!$H$1:$I$1000,2,FALSE)</f>
        <v>Beauty</v>
      </c>
      <c r="H27" s="7" t="s">
        <v>17</v>
      </c>
      <c r="I27">
        <v>33</v>
      </c>
    </row>
    <row r="28" spans="4:9">
      <c r="D28" s="1" t="str">
        <v>USB-C Cable</v>
      </c>
      <c r="E28" s="1">
        <f>COUNTIF('NOVACART DATA'!$H$2:$H$1000,D28)</f>
        <v>16</v>
      </c>
      <c r="F28" s="1" t="str">
        <f>VLOOKUP(D28,'NOVACART DATA'!$H$1:$I$1000,2,FALSE)</f>
        <v>Electronics</v>
      </c>
      <c r="H28" s="9" t="s">
        <v>60</v>
      </c>
      <c r="I28">
        <v>23</v>
      </c>
    </row>
    <row r="29" spans="4:9">
      <c r="D29" s="1" t="str">
        <v>Plush Bear</v>
      </c>
      <c r="E29" s="1">
        <f>COUNTIF('NOVACART DATA'!$H$2:$H$1000,D29)</f>
        <v>23</v>
      </c>
      <c r="F29" s="1" t="str">
        <f>VLOOKUP(D29,'NOVACART DATA'!$H$1:$I$1000,2,FALSE)</f>
        <v>Toys</v>
      </c>
      <c r="H29" s="9" t="s">
        <v>64</v>
      </c>
      <c r="I29">
        <v>23</v>
      </c>
    </row>
    <row r="30" spans="4:9">
      <c r="D30" s="1" t="str">
        <v>Hand Cream</v>
      </c>
      <c r="E30" s="1">
        <f>COUNTIF('NOVACART DATA'!$H$2:$H$1000,D30)</f>
        <v>21</v>
      </c>
      <c r="F30" s="1" t="str">
        <f>VLOOKUP(D30,'NOVACART DATA'!$H$1:$I$1000,2,FALSE)</f>
        <v>Beauty</v>
      </c>
      <c r="H30" s="10" t="s">
        <v>23</v>
      </c>
      <c r="I30" s="11">
        <v>33</v>
      </c>
    </row>
    <row r="31" spans="4:9">
      <c r="D31" s="1" t="str">
        <v>Wireless Earbuds</v>
      </c>
      <c r="E31" s="1">
        <f>COUNTIF('NOVACART DATA'!$H$2:$H$1000,D31)</f>
        <v>27</v>
      </c>
      <c r="F31" s="1" t="str">
        <f>VLOOKUP(D31,'NOVACART DATA'!$H$1:$I$1000,2,FALSE)</f>
        <v>Electronics</v>
      </c>
      <c r="H31" s="9" t="s">
        <v>75</v>
      </c>
      <c r="I31">
        <v>19</v>
      </c>
    </row>
    <row r="32" spans="4:9">
      <c r="D32" s="1" t="str">
        <v>Board Game</v>
      </c>
      <c r="E32" s="1">
        <f>COUNTIF('NOVACART DATA'!$H$2:$H$1000,D32)</f>
        <v>29</v>
      </c>
      <c r="F32" s="1" t="str">
        <f>VLOOKUP(D32,'NOVACART DATA'!$H$1:$I$1000,2,FALSE)</f>
        <v>Toys</v>
      </c>
      <c r="H32" s="9" t="s">
        <v>97</v>
      </c>
      <c r="I32">
        <v>24</v>
      </c>
    </row>
    <row r="33" spans="2:9">
      <c r="D33" s="1" t="str">
        <v>Joggers</v>
      </c>
      <c r="E33" s="1">
        <f>COUNTIF('NOVACART DATA'!$H$2:$H$1000,D33)</f>
        <v>37</v>
      </c>
      <c r="F33" s="1" t="str">
        <f>VLOOKUP(D33,'NOVACART DATA'!$H$1:$I$1000,2,FALSE)</f>
        <v>Apparel</v>
      </c>
      <c r="H33" s="9" t="s">
        <v>77</v>
      </c>
      <c r="I33">
        <v>17</v>
      </c>
    </row>
    <row r="34" spans="2:9">
      <c r="D34" s="1" t="str">
        <v>Hoodie</v>
      </c>
      <c r="E34" s="1">
        <f>COUNTIF('NOVACART DATA'!$H$2:$H$1000,D34)</f>
        <v>22</v>
      </c>
      <c r="F34" s="1" t="str">
        <f>VLOOKUP(D34,'NOVACART DATA'!$H$1:$I$1000,2,FALSE)</f>
        <v>Apparel</v>
      </c>
      <c r="H34" s="9" t="s">
        <v>16</v>
      </c>
      <c r="I34">
        <v>29</v>
      </c>
    </row>
    <row r="35" spans="2:9">
      <c r="D35" s="1" t="str">
        <v>Crew Tee</v>
      </c>
      <c r="E35" s="1">
        <f>COUNTIF('NOVACART DATA'!$H$2:$H$1000,D35)</f>
        <v>18</v>
      </c>
      <c r="F35" s="1" t="str">
        <f>VLOOKUP(D35,'NOVACART DATA'!$H$1:$I$1000,2,FALSE)</f>
        <v>Apparel</v>
      </c>
      <c r="H35" s="7" t="s">
        <v>31</v>
      </c>
      <c r="I35">
        <v>39</v>
      </c>
    </row>
    <row r="36" spans="2:9">
      <c r="D36" s="1" t="str">
        <v>Denim Jacket</v>
      </c>
      <c r="E36" s="1">
        <f>COUNTIF('NOVACART DATA'!$H$2:$H$1000,D36)</f>
        <v>21</v>
      </c>
      <c r="F36" s="1" t="str">
        <f>VLOOKUP(D36,'NOVACART DATA'!$H$1:$I$1000,2,FALSE)</f>
        <v>Apparel</v>
      </c>
      <c r="H36" s="9" t="s">
        <v>103</v>
      </c>
      <c r="I36">
        <v>22</v>
      </c>
    </row>
    <row r="37" spans="2:9">
      <c r="D37" s="1" t="str">
        <v>Water Bottle</v>
      </c>
      <c r="E37" s="1">
        <f>COUNTIF('NOVACART DATA'!$H$2:$H$1000,D37)</f>
        <v>39</v>
      </c>
      <c r="F37" s="1" t="str">
        <f>VLOOKUP(D37,'NOVACART DATA'!$H$1:$I$1000,2,FALSE)</f>
        <v>Sports</v>
      </c>
      <c r="H37" s="9" t="s">
        <v>42</v>
      </c>
      <c r="I37">
        <v>22</v>
      </c>
    </row>
    <row r="38" spans="2:9">
      <c r="D38" s="1" t="str">
        <v>Foam Roller</v>
      </c>
      <c r="E38" s="1">
        <f>COUNTIF('NOVACART DATA'!$H$2:$H$1000,D38)</f>
        <v>22</v>
      </c>
      <c r="F38" s="1" t="str">
        <f>VLOOKUP(D38,'NOVACART DATA'!$H$1:$I$1000,2,FALSE)</f>
        <v>Sports</v>
      </c>
      <c r="H38" s="9" t="s">
        <v>30</v>
      </c>
      <c r="I38">
        <v>29</v>
      </c>
    </row>
    <row r="39" spans="2:9">
      <c r="D39" s="1" t="str">
        <v>Running Belt</v>
      </c>
      <c r="E39" s="1">
        <f>COUNTIF('NOVACART DATA'!$H$2:$H$1000,D39)</f>
        <v>25</v>
      </c>
      <c r="F39" s="1" t="str">
        <f>VLOOKUP(D39,'NOVACART DATA'!$H$1:$I$1000,2,FALSE)</f>
        <v>Sports</v>
      </c>
      <c r="H39" s="9" t="s">
        <v>130</v>
      </c>
      <c r="I39">
        <v>25</v>
      </c>
    </row>
    <row r="40" spans="2:9">
      <c r="D40" s="1" t="str">
        <v>Cutting Board</v>
      </c>
      <c r="E40" s="1">
        <f>COUNTIF('NOVACART DATA'!$H$2:$H$1000,D40)</f>
        <v>23</v>
      </c>
      <c r="F40" s="1" t="str">
        <f>VLOOKUP(D40,'NOVACART DATA'!$H$1:$I$1000,2,FALSE)</f>
        <v>Home</v>
      </c>
      <c r="H40" s="12" t="s">
        <v>57</v>
      </c>
      <c r="I40" s="13">
        <v>39</v>
      </c>
    </row>
    <row r="41" spans="2:9">
      <c r="D41" s="1" t="str">
        <v>Building Blocks</v>
      </c>
      <c r="E41" s="1">
        <f>COUNTIF('NOVACART DATA'!$H$2:$H$1000,D41)</f>
        <v>21</v>
      </c>
      <c r="F41" s="1" t="str">
        <f>VLOOKUP(D41,'NOVACART DATA'!$H$1:$I$1000,2,FALSE)</f>
        <v>Toys</v>
      </c>
      <c r="H41" s="9" t="s">
        <v>96</v>
      </c>
      <c r="I41">
        <v>18</v>
      </c>
    </row>
    <row r="42" spans="2:9">
      <c r="D42" s="1" t="str">
        <v>Power Bank</v>
      </c>
      <c r="E42" s="1">
        <f>COUNTIF('NOVACART DATA'!$H$2:$H$1000,D42)</f>
        <v>17</v>
      </c>
      <c r="F42" s="1" t="str">
        <f>VLOOKUP(D42,'NOVACART DATA'!$H$1:$I$1000,2,FALSE)</f>
        <v>Electronics</v>
      </c>
      <c r="H42" s="7" t="s">
        <v>27</v>
      </c>
      <c r="I42">
        <v>36</v>
      </c>
    </row>
    <row r="43" spans="2:9">
      <c r="D43" s="1"/>
      <c r="E43" s="1"/>
      <c r="F43" s="1"/>
      <c r="H43" s="9" t="s">
        <v>53</v>
      </c>
      <c r="I43">
        <v>32</v>
      </c>
    </row>
    <row r="44" spans="2:9">
      <c r="H44" s="9" t="s">
        <v>70</v>
      </c>
      <c r="I44">
        <v>29</v>
      </c>
    </row>
    <row r="45" spans="2:9">
      <c r="H45" s="9" t="s">
        <v>104</v>
      </c>
      <c r="I45">
        <v>21</v>
      </c>
    </row>
    <row r="46" spans="2:9">
      <c r="H46" s="9" t="s">
        <v>26</v>
      </c>
      <c r="I46">
        <v>23</v>
      </c>
    </row>
    <row r="47" spans="2:9">
      <c r="H47" s="9" t="s">
        <v>62</v>
      </c>
      <c r="I47">
        <v>32</v>
      </c>
    </row>
    <row r="48" spans="2:9">
      <c r="B48" s="1"/>
      <c r="H48" s="10" t="s">
        <v>36</v>
      </c>
      <c r="I48" s="11">
        <v>36</v>
      </c>
    </row>
    <row r="49" spans="2:9">
      <c r="B49" s="1"/>
      <c r="H49" s="7" t="s">
        <v>223</v>
      </c>
    </row>
    <row r="50" spans="2:9">
      <c r="B50" s="1"/>
      <c r="H50" s="9" t="s">
        <v>223</v>
      </c>
    </row>
    <row r="51" spans="2:9">
      <c r="B51" s="1"/>
      <c r="H51" s="7" t="s">
        <v>220</v>
      </c>
      <c r="I51">
        <v>39</v>
      </c>
    </row>
    <row r="52" spans="2:9">
      <c r="B52" s="1"/>
    </row>
    <row r="53" spans="2:9">
      <c r="B53" s="1"/>
    </row>
    <row r="54" spans="2:9">
      <c r="B54" s="1"/>
    </row>
    <row r="55" spans="2:9">
      <c r="B55" s="1"/>
    </row>
    <row r="56" spans="2:9">
      <c r="B56" s="1"/>
    </row>
    <row r="57" spans="2:9">
      <c r="B57" s="1"/>
    </row>
    <row r="58" spans="2:9">
      <c r="B58" s="1"/>
    </row>
    <row r="59" spans="2:9">
      <c r="B59" s="1"/>
    </row>
    <row r="60" spans="2:9">
      <c r="B60" s="1"/>
    </row>
    <row r="61" spans="2:9">
      <c r="B61" s="1"/>
    </row>
    <row r="62" spans="2:9">
      <c r="B62" s="1"/>
    </row>
    <row r="63" spans="2:9">
      <c r="B63" s="1"/>
    </row>
    <row r="64" spans="2:9">
      <c r="B64" s="1"/>
    </row>
    <row r="65" spans="2:2">
      <c r="B65" s="1"/>
    </row>
    <row r="66" spans="2:2">
      <c r="B66" s="1"/>
    </row>
  </sheetData>
  <mergeCells count="2">
    <mergeCell ref="D1:F1"/>
    <mergeCell ref="K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935ED3F6-5F2F-42EC-A498-B0218D3F913B}">
  <ds:schemaRefs/>
</ds:datastoreItem>
</file>

<file path=customXml/itemProps2.xml><?xml version="1.0" encoding="utf-8"?>
<ds:datastoreItem xmlns:ds="http://schemas.openxmlformats.org/officeDocument/2006/customXml" ds:itemID="{B59A33A4-56AA-4D2D-A17E-7446252ED7B7}">
  <ds:schemaRefs/>
</ds:datastoreItem>
</file>

<file path=customXml/itemProps3.xml><?xml version="1.0" encoding="utf-8"?>
<ds:datastoreItem xmlns:ds="http://schemas.openxmlformats.org/officeDocument/2006/customXml" ds:itemID="{F010C8C4-0B54-405D-914B-09E5C6F0DBB5}">
  <ds:schemaRefs/>
</ds:datastoreItem>
</file>

<file path=customXml/itemProps4.xml><?xml version="1.0" encoding="utf-8"?>
<ds:datastoreItem xmlns:ds="http://schemas.openxmlformats.org/officeDocument/2006/customXml" ds:itemID="{B7E62A45-9534-4427-9A3F-D09135B1454D}">
  <ds:schemaRefs/>
</ds:datastoreItem>
</file>

<file path=customXml/itemProps5.xml><?xml version="1.0" encoding="utf-8"?>
<ds:datastoreItem xmlns:ds="http://schemas.openxmlformats.org/officeDocument/2006/customXml" ds:itemID="{26BDF4A5-E905-4449-8882-8D791CEF7F37}">
  <ds:schemaRefs/>
</ds:datastoreItem>
</file>

<file path=customXml/itemProps6.xml><?xml version="1.0" encoding="utf-8"?>
<ds:datastoreItem xmlns:ds="http://schemas.openxmlformats.org/officeDocument/2006/customXml" ds:itemID="{202896C8-59FB-4FC8-A8BC-278F82822A27}">
  <ds:schemaRefs/>
</ds:datastoreItem>
</file>

<file path=customXml/itemProps7.xml><?xml version="1.0" encoding="utf-8"?>
<ds:datastoreItem xmlns:ds="http://schemas.openxmlformats.org/officeDocument/2006/customXml" ds:itemID="{D26C3DB1-1F25-4AB5-A902-975AB0B6CE5A}">
  <ds:schemaRefs/>
</ds:datastoreItem>
</file>

<file path=customXml/itemProps8.xml><?xml version="1.0" encoding="utf-8"?>
<ds:datastoreItem xmlns:ds="http://schemas.openxmlformats.org/officeDocument/2006/customXml" ds:itemID="{409F66BD-1886-45AA-AE18-1B5F625AB056}">
  <ds:schemaRefs/>
</ds:datastoreItem>
</file>

<file path=customXml/itemProps9.xml><?xml version="1.0" encoding="utf-8"?>
<ds:datastoreItem xmlns:ds="http://schemas.openxmlformats.org/officeDocument/2006/customXml" ds:itemID="{317823D3-E7B2-4017-885B-2FF09BC4090F}">
  <ds:schemaRefs/>
</ds:datastoreItem>
</file>

<file path=customXml/itemProps10.xml><?xml version="1.0" encoding="utf-8"?>
<ds:datastoreItem xmlns:ds="http://schemas.openxmlformats.org/officeDocument/2006/customXml" ds:itemID="{DA12C843-F83C-470D-9533-FE3B9C6BD650}">
  <ds:schemaRefs/>
</ds:datastoreItem>
</file>

<file path=customXml/itemProps11.xml><?xml version="1.0" encoding="utf-8"?>
<ds:datastoreItem xmlns:ds="http://schemas.openxmlformats.org/officeDocument/2006/customXml" ds:itemID="{47D138E5-7A10-4FB9-A015-87E249B58E26}">
  <ds:schemaRefs/>
</ds:datastoreItem>
</file>

<file path=customXml/itemProps12.xml><?xml version="1.0" encoding="utf-8"?>
<ds:datastoreItem xmlns:ds="http://schemas.openxmlformats.org/officeDocument/2006/customXml" ds:itemID="{848C9D79-777F-4A99-9EBA-777057FAB3DD}">
  <ds:schemaRefs/>
</ds:datastoreItem>
</file>

<file path=customXml/itemProps13.xml><?xml version="1.0" encoding="utf-8"?>
<ds:datastoreItem xmlns:ds="http://schemas.openxmlformats.org/officeDocument/2006/customXml" ds:itemID="{CDA39433-65D8-4F98-9A12-368B5B16200E}">
  <ds:schemaRefs/>
</ds:datastoreItem>
</file>

<file path=customXml/itemProps14.xml><?xml version="1.0" encoding="utf-8"?>
<ds:datastoreItem xmlns:ds="http://schemas.openxmlformats.org/officeDocument/2006/customXml" ds:itemID="{46B592DC-431B-41F0-8A7F-4FDBF622FBA6}">
  <ds:schemaRefs/>
</ds:datastoreItem>
</file>

<file path=customXml/itemProps15.xml><?xml version="1.0" encoding="utf-8"?>
<ds:datastoreItem xmlns:ds="http://schemas.openxmlformats.org/officeDocument/2006/customXml" ds:itemID="{2D5A9CAB-F3A5-4498-99D1-E03143684171}">
  <ds:schemaRefs/>
</ds:datastoreItem>
</file>

<file path=customXml/itemProps16.xml><?xml version="1.0" encoding="utf-8"?>
<ds:datastoreItem xmlns:ds="http://schemas.openxmlformats.org/officeDocument/2006/customXml" ds:itemID="{7D8BC079-424F-4122-A039-6232C340EF9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NOVACART DATA</vt:lpstr>
      <vt:lpstr>Customer Data</vt:lpstr>
      <vt:lpstr>Order Data</vt:lpstr>
      <vt:lpstr>Product Data</vt:lpstr>
      <vt:lpstr>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Roopika Govindan</dc:creator>
  <cp:lastModifiedBy>Roopika Govindan</cp:lastModifiedBy>
  <dcterms:created xsi:type="dcterms:W3CDTF">2026-10-07T17:21:32Z</dcterms:created>
  <dcterms:modified xsi:type="dcterms:W3CDTF">2026-10-08T00:13:16Z</dcterms:modified>
</cp:coreProperties>
</file>